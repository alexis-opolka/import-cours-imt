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is Opolka\Documents\depots\import-cours-imt\jeux-entreprise\src\"/>
    </mc:Choice>
  </mc:AlternateContent>
  <xr:revisionPtr revIDLastSave="0" documentId="13_ncr:1_{2882653C-0A1F-4FFE-8C35-13C96EE01310}" xr6:coauthVersionLast="47" xr6:coauthVersionMax="47" xr10:uidLastSave="{00000000-0000-0000-0000-000000000000}"/>
  <bookViews>
    <workbookView xWindow="-110" yWindow="-110" windowWidth="38620" windowHeight="21100" xr2:uid="{8048AA76-4C14-4541-99B6-D625B368FD1C}"/>
  </bookViews>
  <sheets>
    <sheet name="CdR" sheetId="1" r:id="rId1"/>
    <sheet name="Trésorerie" sheetId="4" r:id="rId2"/>
    <sheet name="Bilan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4" l="1"/>
  <c r="Z49" i="1" l="1"/>
  <c r="Z48" i="1"/>
  <c r="Z43" i="1"/>
  <c r="Z44" i="1"/>
  <c r="Z41" i="1"/>
  <c r="Z12" i="1"/>
  <c r="Z13" i="1"/>
  <c r="Z14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2" i="1"/>
  <c r="Z33" i="1"/>
  <c r="Z34" i="1"/>
  <c r="Z35" i="1"/>
  <c r="Z36" i="1"/>
  <c r="Z37" i="1"/>
  <c r="Z5" i="1"/>
  <c r="Z7" i="1"/>
  <c r="Z8" i="1"/>
  <c r="B31" i="4" l="1"/>
  <c r="B15" i="4" l="1"/>
  <c r="Y31" i="4"/>
  <c r="X31" i="4"/>
  <c r="Y15" i="4"/>
  <c r="Y12" i="4" s="1"/>
  <c r="Y43" i="4" s="1"/>
  <c r="X15" i="4"/>
  <c r="Y6" i="4"/>
  <c r="X6" i="4"/>
  <c r="X3" i="4" s="1"/>
  <c r="X42" i="4" s="1"/>
  <c r="Y4" i="4"/>
  <c r="X4" i="4"/>
  <c r="W31" i="4"/>
  <c r="V31" i="4"/>
  <c r="W15" i="4"/>
  <c r="V15" i="4"/>
  <c r="W6" i="4"/>
  <c r="V6" i="4"/>
  <c r="W4" i="4"/>
  <c r="V4" i="4"/>
  <c r="V3" i="4" s="1"/>
  <c r="V42" i="4" s="1"/>
  <c r="U31" i="4"/>
  <c r="T31" i="4"/>
  <c r="U15" i="4"/>
  <c r="T15" i="4"/>
  <c r="U6" i="4"/>
  <c r="T6" i="4"/>
  <c r="U4" i="4"/>
  <c r="T4" i="4"/>
  <c r="S31" i="4"/>
  <c r="R31" i="4"/>
  <c r="S15" i="4"/>
  <c r="R15" i="4"/>
  <c r="S6" i="4"/>
  <c r="S3" i="4" s="1"/>
  <c r="S42" i="4" s="1"/>
  <c r="R6" i="4"/>
  <c r="R3" i="4" s="1"/>
  <c r="R42" i="4" s="1"/>
  <c r="S4" i="4"/>
  <c r="R4" i="4"/>
  <c r="Q31" i="4"/>
  <c r="P31" i="4"/>
  <c r="Q15" i="4"/>
  <c r="P15" i="4"/>
  <c r="Q6" i="4"/>
  <c r="P6" i="4"/>
  <c r="P3" i="4" s="1"/>
  <c r="P42" i="4" s="1"/>
  <c r="Q4" i="4"/>
  <c r="P4" i="4"/>
  <c r="O31" i="4"/>
  <c r="N31" i="4"/>
  <c r="O15" i="4"/>
  <c r="N15" i="4"/>
  <c r="O6" i="4"/>
  <c r="N6" i="4"/>
  <c r="O4" i="4"/>
  <c r="N4" i="4"/>
  <c r="M31" i="4"/>
  <c r="L31" i="4"/>
  <c r="M15" i="4"/>
  <c r="L15" i="4"/>
  <c r="M6" i="4"/>
  <c r="L6" i="4"/>
  <c r="M4" i="4"/>
  <c r="L4" i="4"/>
  <c r="K31" i="4"/>
  <c r="J31" i="4"/>
  <c r="K15" i="4"/>
  <c r="J15" i="4"/>
  <c r="K6" i="4"/>
  <c r="K3" i="4" s="1"/>
  <c r="K42" i="4" s="1"/>
  <c r="J6" i="4"/>
  <c r="K4" i="4"/>
  <c r="J4" i="4"/>
  <c r="I31" i="4"/>
  <c r="H31" i="4"/>
  <c r="I15" i="4"/>
  <c r="H15" i="4"/>
  <c r="I6" i="4"/>
  <c r="H6" i="4"/>
  <c r="I4" i="4"/>
  <c r="H4" i="4"/>
  <c r="H3" i="4" s="1"/>
  <c r="H42" i="4" s="1"/>
  <c r="G31" i="4"/>
  <c r="F31" i="4"/>
  <c r="G15" i="4"/>
  <c r="F15" i="4"/>
  <c r="G6" i="4"/>
  <c r="F6" i="4"/>
  <c r="G4" i="4"/>
  <c r="F4" i="4"/>
  <c r="F3" i="4" s="1"/>
  <c r="F42" i="4" s="1"/>
  <c r="E31" i="4"/>
  <c r="D31" i="4"/>
  <c r="E15" i="4"/>
  <c r="D15" i="4"/>
  <c r="D12" i="4" s="1"/>
  <c r="D43" i="4" s="1"/>
  <c r="E6" i="4"/>
  <c r="D6" i="4"/>
  <c r="E4" i="4"/>
  <c r="D4" i="4"/>
  <c r="D3" i="4" s="1"/>
  <c r="D42" i="4" s="1"/>
  <c r="Y51" i="1"/>
  <c r="X51" i="1"/>
  <c r="Y42" i="1"/>
  <c r="Y46" i="1" s="1"/>
  <c r="X42" i="1"/>
  <c r="X46" i="1" s="1"/>
  <c r="Y31" i="1"/>
  <c r="X31" i="1"/>
  <c r="Y15" i="1"/>
  <c r="X15" i="1"/>
  <c r="Y11" i="1"/>
  <c r="X11" i="1"/>
  <c r="Y10" i="1"/>
  <c r="Y6" i="1"/>
  <c r="X6" i="1"/>
  <c r="Y4" i="1"/>
  <c r="X4" i="1"/>
  <c r="X3" i="1"/>
  <c r="W51" i="1"/>
  <c r="V51" i="1"/>
  <c r="W42" i="1"/>
  <c r="W46" i="1" s="1"/>
  <c r="V42" i="1"/>
  <c r="V46" i="1" s="1"/>
  <c r="W31" i="1"/>
  <c r="V31" i="1"/>
  <c r="W15" i="1"/>
  <c r="V15" i="1"/>
  <c r="W11" i="1"/>
  <c r="V11" i="1"/>
  <c r="W6" i="1"/>
  <c r="V6" i="1"/>
  <c r="W4" i="1"/>
  <c r="V4" i="1"/>
  <c r="U51" i="1"/>
  <c r="T51" i="1"/>
  <c r="U42" i="1"/>
  <c r="U46" i="1" s="1"/>
  <c r="T42" i="1"/>
  <c r="T46" i="1" s="1"/>
  <c r="U31" i="1"/>
  <c r="T31" i="1"/>
  <c r="U15" i="1"/>
  <c r="T15" i="1"/>
  <c r="U11" i="1"/>
  <c r="T11" i="1"/>
  <c r="U6" i="1"/>
  <c r="T6" i="1"/>
  <c r="U4" i="1"/>
  <c r="T4" i="1"/>
  <c r="S51" i="1"/>
  <c r="R51" i="1"/>
  <c r="S42" i="1"/>
  <c r="S46" i="1" s="1"/>
  <c r="R42" i="1"/>
  <c r="R46" i="1" s="1"/>
  <c r="S31" i="1"/>
  <c r="R31" i="1"/>
  <c r="S15" i="1"/>
  <c r="R15" i="1"/>
  <c r="S11" i="1"/>
  <c r="R11" i="1"/>
  <c r="S6" i="1"/>
  <c r="R6" i="1"/>
  <c r="S4" i="1"/>
  <c r="S3" i="1" s="1"/>
  <c r="R4" i="1"/>
  <c r="R3" i="1" s="1"/>
  <c r="Q51" i="1"/>
  <c r="P51" i="1"/>
  <c r="Q42" i="1"/>
  <c r="Q46" i="1" s="1"/>
  <c r="P42" i="1"/>
  <c r="P46" i="1" s="1"/>
  <c r="Q31" i="1"/>
  <c r="P31" i="1"/>
  <c r="Q15" i="1"/>
  <c r="P15" i="1"/>
  <c r="Q11" i="1"/>
  <c r="P11" i="1"/>
  <c r="Q6" i="1"/>
  <c r="P6" i="1"/>
  <c r="Q4" i="1"/>
  <c r="P4" i="1"/>
  <c r="P3" i="1" s="1"/>
  <c r="O51" i="1"/>
  <c r="N51" i="1"/>
  <c r="O42" i="1"/>
  <c r="O46" i="1" s="1"/>
  <c r="N42" i="1"/>
  <c r="N46" i="1" s="1"/>
  <c r="O31" i="1"/>
  <c r="N31" i="1"/>
  <c r="O15" i="1"/>
  <c r="N15" i="1"/>
  <c r="O11" i="1"/>
  <c r="N11" i="1"/>
  <c r="O6" i="1"/>
  <c r="N6" i="1"/>
  <c r="O4" i="1"/>
  <c r="N4" i="1"/>
  <c r="M51" i="1"/>
  <c r="L51" i="1"/>
  <c r="M42" i="1"/>
  <c r="M46" i="1" s="1"/>
  <c r="L42" i="1"/>
  <c r="L46" i="1" s="1"/>
  <c r="M31" i="1"/>
  <c r="L31" i="1"/>
  <c r="M15" i="1"/>
  <c r="L15" i="1"/>
  <c r="M11" i="1"/>
  <c r="L11" i="1"/>
  <c r="M6" i="1"/>
  <c r="L6" i="1"/>
  <c r="M4" i="1"/>
  <c r="L4" i="1"/>
  <c r="K51" i="1"/>
  <c r="J51" i="1"/>
  <c r="K42" i="1"/>
  <c r="K46" i="1" s="1"/>
  <c r="J42" i="1"/>
  <c r="J46" i="1" s="1"/>
  <c r="K31" i="1"/>
  <c r="J31" i="1"/>
  <c r="K15" i="1"/>
  <c r="J15" i="1"/>
  <c r="K11" i="1"/>
  <c r="J11" i="1"/>
  <c r="K6" i="1"/>
  <c r="J6" i="1"/>
  <c r="K4" i="1"/>
  <c r="J4" i="1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B8" i="5"/>
  <c r="I51" i="1"/>
  <c r="H51" i="1"/>
  <c r="I42" i="1"/>
  <c r="I46" i="1" s="1"/>
  <c r="H42" i="1"/>
  <c r="H46" i="1" s="1"/>
  <c r="I31" i="1"/>
  <c r="H31" i="1"/>
  <c r="I15" i="1"/>
  <c r="H15" i="1"/>
  <c r="I11" i="1"/>
  <c r="H11" i="1"/>
  <c r="I6" i="1"/>
  <c r="H6" i="1"/>
  <c r="I4" i="1"/>
  <c r="H4" i="1"/>
  <c r="G51" i="1"/>
  <c r="F51" i="1"/>
  <c r="G42" i="1"/>
  <c r="G46" i="1" s="1"/>
  <c r="F42" i="1"/>
  <c r="F46" i="1" s="1"/>
  <c r="G31" i="1"/>
  <c r="F31" i="1"/>
  <c r="G15" i="1"/>
  <c r="F15" i="1"/>
  <c r="G11" i="1"/>
  <c r="F11" i="1"/>
  <c r="G6" i="1"/>
  <c r="F6" i="1"/>
  <c r="G4" i="1"/>
  <c r="F4" i="1"/>
  <c r="E51" i="1"/>
  <c r="D51" i="1"/>
  <c r="E42" i="1"/>
  <c r="E46" i="1" s="1"/>
  <c r="D42" i="1"/>
  <c r="D46" i="1" s="1"/>
  <c r="E31" i="1"/>
  <c r="D31" i="1"/>
  <c r="E15" i="1"/>
  <c r="D15" i="1"/>
  <c r="E11" i="1"/>
  <c r="D11" i="1"/>
  <c r="E6" i="1"/>
  <c r="D6" i="1"/>
  <c r="E4" i="1"/>
  <c r="D4" i="1"/>
  <c r="B15" i="1"/>
  <c r="C31" i="1"/>
  <c r="B31" i="1"/>
  <c r="C51" i="1"/>
  <c r="B51" i="1"/>
  <c r="W12" i="4" l="1"/>
  <c r="W43" i="4" s="1"/>
  <c r="U3" i="4"/>
  <c r="U42" i="4" s="1"/>
  <c r="U3" i="1"/>
  <c r="S12" i="4"/>
  <c r="S43" i="4" s="1"/>
  <c r="Q12" i="4"/>
  <c r="Q43" i="4" s="1"/>
  <c r="Q3" i="1"/>
  <c r="O12" i="4"/>
  <c r="O43" i="4" s="1"/>
  <c r="X12" i="4"/>
  <c r="X43" i="4" s="1"/>
  <c r="V12" i="4"/>
  <c r="V43" i="4" s="1"/>
  <c r="T12" i="4"/>
  <c r="T43" i="4" s="1"/>
  <c r="R12" i="4"/>
  <c r="R43" i="4" s="1"/>
  <c r="P12" i="4"/>
  <c r="P43" i="4" s="1"/>
  <c r="N3" i="1"/>
  <c r="M12" i="4"/>
  <c r="M43" i="4" s="1"/>
  <c r="M3" i="4"/>
  <c r="M42" i="4" s="1"/>
  <c r="L12" i="4"/>
  <c r="L43" i="4" s="1"/>
  <c r="I12" i="4"/>
  <c r="I43" i="4" s="1"/>
  <c r="I3" i="4"/>
  <c r="I42" i="4" s="1"/>
  <c r="E3" i="4"/>
  <c r="E42" i="4" s="1"/>
  <c r="K12" i="4"/>
  <c r="K43" i="4" s="1"/>
  <c r="F3" i="1"/>
  <c r="D3" i="1"/>
  <c r="V3" i="1"/>
  <c r="T3" i="4"/>
  <c r="T42" i="4" s="1"/>
  <c r="Z31" i="1"/>
  <c r="G3" i="4"/>
  <c r="G42" i="4" s="1"/>
  <c r="O3" i="4"/>
  <c r="O42" i="4" s="1"/>
  <c r="U12" i="4"/>
  <c r="U43" i="4" s="1"/>
  <c r="T3" i="1"/>
  <c r="J3" i="4"/>
  <c r="J42" i="4" s="1"/>
  <c r="N3" i="4"/>
  <c r="N42" i="4" s="1"/>
  <c r="Q3" i="4"/>
  <c r="Q42" i="4" s="1"/>
  <c r="W3" i="4"/>
  <c r="W42" i="4" s="1"/>
  <c r="L3" i="4"/>
  <c r="L42" i="4" s="1"/>
  <c r="Y3" i="4"/>
  <c r="Y42" i="4" s="1"/>
  <c r="F10" i="1"/>
  <c r="F39" i="1" s="1"/>
  <c r="F53" i="1" s="1"/>
  <c r="Q10" i="1"/>
  <c r="Q39" i="1" s="1"/>
  <c r="Q53" i="1" s="1"/>
  <c r="F12" i="4"/>
  <c r="F43" i="4" s="1"/>
  <c r="J12" i="4"/>
  <c r="J43" i="4" s="1"/>
  <c r="N12" i="4"/>
  <c r="N43" i="4" s="1"/>
  <c r="P10" i="1"/>
  <c r="P39" i="1" s="1"/>
  <c r="P53" i="1" s="1"/>
  <c r="S10" i="1"/>
  <c r="S39" i="1" s="1"/>
  <c r="S53" i="1" s="1"/>
  <c r="H12" i="4"/>
  <c r="H43" i="4" s="1"/>
  <c r="E12" i="4"/>
  <c r="E43" i="4" s="1"/>
  <c r="G12" i="4"/>
  <c r="G43" i="4" s="1"/>
  <c r="D10" i="1"/>
  <c r="D39" i="1" s="1"/>
  <c r="D53" i="1" s="1"/>
  <c r="G10" i="1"/>
  <c r="N10" i="1"/>
  <c r="U10" i="1"/>
  <c r="U39" i="1" s="1"/>
  <c r="U53" i="1" s="1"/>
  <c r="R10" i="1"/>
  <c r="R39" i="1" s="1"/>
  <c r="R53" i="1" s="1"/>
  <c r="E3" i="1"/>
  <c r="J10" i="1"/>
  <c r="J39" i="1" s="1"/>
  <c r="J53" i="1" s="1"/>
  <c r="L3" i="1"/>
  <c r="O3" i="1"/>
  <c r="V10" i="1"/>
  <c r="V39" i="1" s="1"/>
  <c r="V53" i="1" s="1"/>
  <c r="Y3" i="1"/>
  <c r="Y39" i="1" s="1"/>
  <c r="Y53" i="1" s="1"/>
  <c r="X10" i="1"/>
  <c r="X39" i="1" s="1"/>
  <c r="X53" i="1" s="1"/>
  <c r="E10" i="1"/>
  <c r="H10" i="1"/>
  <c r="J3" i="1"/>
  <c r="L10" i="1"/>
  <c r="O10" i="1"/>
  <c r="I3" i="1"/>
  <c r="K3" i="1"/>
  <c r="M3" i="1"/>
  <c r="M10" i="1"/>
  <c r="T10" i="1"/>
  <c r="T39" i="1" s="1"/>
  <c r="T53" i="1" s="1"/>
  <c r="W3" i="1"/>
  <c r="W10" i="1"/>
  <c r="H3" i="1"/>
  <c r="I10" i="1"/>
  <c r="K10" i="1"/>
  <c r="G3" i="1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C14" i="5" s="1"/>
  <c r="B15" i="5"/>
  <c r="B14" i="5" s="1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C31" i="4"/>
  <c r="C15" i="4"/>
  <c r="C6" i="4"/>
  <c r="B6" i="4"/>
  <c r="C4" i="4"/>
  <c r="B4" i="4"/>
  <c r="C4" i="1"/>
  <c r="Z4" i="1" s="1"/>
  <c r="C6" i="1"/>
  <c r="Z6" i="1" s="1"/>
  <c r="C11" i="1"/>
  <c r="Z11" i="1" s="1"/>
  <c r="C15" i="1"/>
  <c r="Z15" i="1" s="1"/>
  <c r="C42" i="1"/>
  <c r="B42" i="1"/>
  <c r="B46" i="1" s="1"/>
  <c r="B11" i="1"/>
  <c r="B10" i="1" s="1"/>
  <c r="B6" i="1"/>
  <c r="B4" i="1"/>
  <c r="O39" i="1" l="1"/>
  <c r="O53" i="1" s="1"/>
  <c r="X54" i="1"/>
  <c r="N39" i="1"/>
  <c r="N53" i="1" s="1"/>
  <c r="M39" i="1"/>
  <c r="M53" i="1" s="1"/>
  <c r="C12" i="4"/>
  <c r="C46" i="1"/>
  <c r="Z46" i="1" s="1"/>
  <c r="Z42" i="1"/>
  <c r="P54" i="1"/>
  <c r="K39" i="1"/>
  <c r="K53" i="1" s="1"/>
  <c r="J54" i="1" s="1"/>
  <c r="T54" i="1"/>
  <c r="G39" i="1"/>
  <c r="G53" i="1" s="1"/>
  <c r="F54" i="1" s="1"/>
  <c r="L39" i="1"/>
  <c r="L53" i="1" s="1"/>
  <c r="L54" i="1" s="1"/>
  <c r="R54" i="1"/>
  <c r="E39" i="1"/>
  <c r="E53" i="1" s="1"/>
  <c r="D54" i="1" s="1"/>
  <c r="I39" i="1"/>
  <c r="I53" i="1" s="1"/>
  <c r="H39" i="1"/>
  <c r="H53" i="1" s="1"/>
  <c r="W39" i="1"/>
  <c r="W53" i="1" s="1"/>
  <c r="V54" i="1" s="1"/>
  <c r="B3" i="1"/>
  <c r="R14" i="5"/>
  <c r="J14" i="5"/>
  <c r="K14" i="5"/>
  <c r="S14" i="5"/>
  <c r="U14" i="5"/>
  <c r="D14" i="5"/>
  <c r="E4" i="5"/>
  <c r="F14" i="5"/>
  <c r="N14" i="5"/>
  <c r="V14" i="5"/>
  <c r="E14" i="5"/>
  <c r="M14" i="5"/>
  <c r="G14" i="5"/>
  <c r="O14" i="5"/>
  <c r="W14" i="5"/>
  <c r="L14" i="5"/>
  <c r="P14" i="5"/>
  <c r="I14" i="5"/>
  <c r="Q14" i="5"/>
  <c r="Y14" i="5"/>
  <c r="T14" i="5"/>
  <c r="H14" i="5"/>
  <c r="X14" i="5"/>
  <c r="B12" i="4"/>
  <c r="B43" i="4" s="1"/>
  <c r="C43" i="4"/>
  <c r="C10" i="1"/>
  <c r="Z10" i="1" s="1"/>
  <c r="C3" i="1"/>
  <c r="Z3" i="1" s="1"/>
  <c r="U4" i="5"/>
  <c r="V4" i="5"/>
  <c r="G4" i="5"/>
  <c r="O4" i="5"/>
  <c r="W4" i="5"/>
  <c r="H4" i="5"/>
  <c r="P4" i="5"/>
  <c r="X4" i="5"/>
  <c r="I4" i="5"/>
  <c r="Q4" i="5"/>
  <c r="Y4" i="5"/>
  <c r="F4" i="5"/>
  <c r="B4" i="5"/>
  <c r="R4" i="5"/>
  <c r="N4" i="5"/>
  <c r="J4" i="5"/>
  <c r="C4" i="5"/>
  <c r="K4" i="5"/>
  <c r="S4" i="5"/>
  <c r="M4" i="5"/>
  <c r="D4" i="5"/>
  <c r="L4" i="5"/>
  <c r="T4" i="5"/>
  <c r="C3" i="4"/>
  <c r="C42" i="4" s="1"/>
  <c r="B3" i="4"/>
  <c r="B42" i="4" s="1"/>
  <c r="N54" i="1" l="1"/>
  <c r="H54" i="1"/>
  <c r="C45" i="4"/>
  <c r="E41" i="4" s="1"/>
  <c r="E45" i="4" s="1"/>
  <c r="B45" i="4"/>
  <c r="C39" i="1"/>
  <c r="C53" i="1" s="1"/>
  <c r="Z53" i="1" s="1"/>
  <c r="B39" i="1"/>
  <c r="B53" i="1" s="1"/>
  <c r="B46" i="4" l="1"/>
  <c r="D41" i="4"/>
  <c r="D45" i="4" s="1"/>
  <c r="D46" i="4" s="1"/>
  <c r="G41" i="4"/>
  <c r="G45" i="4" s="1"/>
  <c r="F41" i="4"/>
  <c r="F45" i="4" s="1"/>
  <c r="B54" i="1"/>
  <c r="F46" i="4" l="1"/>
  <c r="I41" i="4"/>
  <c r="I45" i="4" s="1"/>
  <c r="H41" i="4"/>
  <c r="H45" i="4" s="1"/>
  <c r="K41" i="4" l="1"/>
  <c r="K45" i="4" s="1"/>
  <c r="J41" i="4"/>
  <c r="J45" i="4" s="1"/>
  <c r="H46" i="4"/>
  <c r="M41" i="4" l="1"/>
  <c r="M45" i="4" s="1"/>
  <c r="L41" i="4"/>
  <c r="L45" i="4" s="1"/>
  <c r="J46" i="4"/>
  <c r="L46" i="4" l="1"/>
  <c r="O41" i="4"/>
  <c r="O45" i="4" s="1"/>
  <c r="N41" i="4"/>
  <c r="N45" i="4" s="1"/>
  <c r="N46" i="4" l="1"/>
  <c r="P41" i="4"/>
  <c r="P45" i="4" s="1"/>
  <c r="Q41" i="4"/>
  <c r="Q45" i="4" s="1"/>
  <c r="P46" i="4" l="1"/>
  <c r="S41" i="4"/>
  <c r="S45" i="4" s="1"/>
  <c r="R41" i="4"/>
  <c r="R45" i="4" s="1"/>
  <c r="R46" i="4" l="1"/>
  <c r="U41" i="4"/>
  <c r="U45" i="4" s="1"/>
  <c r="T41" i="4"/>
  <c r="T45" i="4" s="1"/>
  <c r="W41" i="4" l="1"/>
  <c r="W45" i="4" s="1"/>
  <c r="V41" i="4"/>
  <c r="V45" i="4" s="1"/>
  <c r="T46" i="4"/>
  <c r="V46" i="4" l="1"/>
  <c r="Y41" i="4"/>
  <c r="Y45" i="4" s="1"/>
  <c r="X41" i="4"/>
  <c r="X45" i="4" s="1"/>
  <c r="X46" i="4" l="1"/>
</calcChain>
</file>

<file path=xl/sharedStrings.xml><?xml version="1.0" encoding="utf-8"?>
<sst xmlns="http://schemas.openxmlformats.org/spreadsheetml/2006/main" count="181" uniqueCount="79">
  <si>
    <t>Mois</t>
  </si>
  <si>
    <t>Produit d'exploitation</t>
  </si>
  <si>
    <t>Ventes de marchandises</t>
  </si>
  <si>
    <t>Produits Fitness</t>
  </si>
  <si>
    <t>Ventes de services</t>
  </si>
  <si>
    <t>Séances à domicile</t>
  </si>
  <si>
    <t>Cours collectifs</t>
  </si>
  <si>
    <t>Charges d'exploitation</t>
  </si>
  <si>
    <t>Achats de marchandises</t>
  </si>
  <si>
    <t>Services extérieurs</t>
  </si>
  <si>
    <t>Communication - Radio</t>
  </si>
  <si>
    <t>Déplacements</t>
  </si>
  <si>
    <t>Internet / Téléphone</t>
  </si>
  <si>
    <t>Expert-comptable</t>
  </si>
  <si>
    <t>Frais divers</t>
  </si>
  <si>
    <t>Frais de personnel</t>
  </si>
  <si>
    <t>Rémunération TNS</t>
  </si>
  <si>
    <t>Charges TNS</t>
  </si>
  <si>
    <t>Salaires nets</t>
  </si>
  <si>
    <t>Charges salariales</t>
  </si>
  <si>
    <t>Charges patronales</t>
  </si>
  <si>
    <t>Dotations aux amortissements</t>
  </si>
  <si>
    <t>Résultat d'exploitation</t>
  </si>
  <si>
    <t>Produits financiers</t>
  </si>
  <si>
    <t>Charges financières</t>
  </si>
  <si>
    <t>Intérêts sur emprunts</t>
  </si>
  <si>
    <t>Agios sur découvert</t>
  </si>
  <si>
    <t>Résultat financier</t>
  </si>
  <si>
    <t>Produits exceptionnels</t>
  </si>
  <si>
    <t>Charges exceptionnelles</t>
  </si>
  <si>
    <t>Résultat exceptionnel</t>
  </si>
  <si>
    <t>Prévisionnel</t>
  </si>
  <si>
    <t>Réalisé</t>
  </si>
  <si>
    <t>Ecart</t>
  </si>
  <si>
    <t>CUMULE</t>
  </si>
  <si>
    <t>Entrées</t>
  </si>
  <si>
    <t>Encaissement des ventes de marchandises</t>
  </si>
  <si>
    <t>Encaissement des ventes de services</t>
  </si>
  <si>
    <t>Emprunt</t>
  </si>
  <si>
    <t>Autres entrées</t>
  </si>
  <si>
    <t>Achats de matières premières : Boissons</t>
  </si>
  <si>
    <t>Achats de marchandises : Produits Fitness</t>
  </si>
  <si>
    <t>Sorties</t>
  </si>
  <si>
    <t>Mensualité des emprunts</t>
  </si>
  <si>
    <t>TVA</t>
  </si>
  <si>
    <t>Solde début de mois</t>
  </si>
  <si>
    <t>Solde fin de mois</t>
  </si>
  <si>
    <t>Actif</t>
  </si>
  <si>
    <t>Actif immobilisé</t>
  </si>
  <si>
    <t>Actif circulant</t>
  </si>
  <si>
    <t>Créances clients</t>
  </si>
  <si>
    <t>Créance TVA</t>
  </si>
  <si>
    <t>Disponibilités</t>
  </si>
  <si>
    <t>Passif</t>
  </si>
  <si>
    <t>Capitaux propres</t>
  </si>
  <si>
    <t>Capital</t>
  </si>
  <si>
    <t>Report à nouveau</t>
  </si>
  <si>
    <t>Résultat de l'exercice</t>
  </si>
  <si>
    <t>Dettes</t>
  </si>
  <si>
    <t>Dettes fournisseurs</t>
  </si>
  <si>
    <t>Dette TVA</t>
  </si>
  <si>
    <t>Concours bancaires</t>
  </si>
  <si>
    <t>Communication - Site web</t>
  </si>
  <si>
    <t>Achats de matières premières (boissons)</t>
  </si>
  <si>
    <t>Variation de stock marchandises</t>
  </si>
  <si>
    <t>Études de marché</t>
  </si>
  <si>
    <t>Résultat courant avant impôt</t>
  </si>
  <si>
    <t>Immobilisations incorporelles (net)</t>
  </si>
  <si>
    <t>Immobilisations corporelles (net)</t>
  </si>
  <si>
    <t>Stocks : produit fitness</t>
  </si>
  <si>
    <t>Loyer</t>
  </si>
  <si>
    <t>Communication - Flyers</t>
  </si>
  <si>
    <t>Matériel - téléphone portable</t>
  </si>
  <si>
    <t>Matériel - accessoires</t>
  </si>
  <si>
    <t>Matériel - équipement sportif</t>
  </si>
  <si>
    <t>Matériel - local</t>
  </si>
  <si>
    <t>Formation</t>
  </si>
  <si>
    <t>Frais de dossier</t>
  </si>
  <si>
    <t>Matériel - ordinateur/téléphone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</si>
</sst>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40C]_-;\-* #,##0.00\ [$€-40C]_-;_-* &quot;-&quot;??\ [$€-40C]_-;_-@_-"/>
    <numFmt numFmtId="165" formatCode="#,##0.00\ [$€-40C]"/>
  </numFmts>
  <fonts count="16" x14ac:knownFonts="1">
    <font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b/>
      <sz val="12"/>
      <color theme="8"/>
      <name val="Segoe UI"/>
      <family val="2"/>
    </font>
    <font>
      <sz val="12"/>
      <color theme="9"/>
      <name val="Segoe UI"/>
      <family val="2"/>
    </font>
    <font>
      <b/>
      <sz val="14"/>
      <color theme="8"/>
      <name val="Segoe UI"/>
      <family val="2"/>
    </font>
    <font>
      <b/>
      <sz val="12"/>
      <color theme="1"/>
      <name val="Calibri"/>
      <family val="2"/>
      <scheme val="minor"/>
    </font>
    <font>
      <b/>
      <sz val="12"/>
      <color theme="5"/>
      <name val="Segoe UI"/>
      <family val="2"/>
    </font>
    <font>
      <sz val="10"/>
      <color theme="1"/>
      <name val="Calibri"/>
      <family val="2"/>
      <scheme val="minor"/>
    </font>
    <font>
      <b/>
      <sz val="10"/>
      <color theme="8"/>
      <name val="Calibri"/>
      <family val="2"/>
      <scheme val="minor"/>
    </font>
    <font>
      <b/>
      <sz val="10"/>
      <color theme="5"/>
      <name val="Calibri"/>
      <family val="2"/>
      <scheme val="minor"/>
    </font>
    <font>
      <sz val="11"/>
      <name val="Segoe U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4" fontId="5" fillId="0" borderId="0" xfId="0" applyNumberFormat="1" applyFont="1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0" fontId="2" fillId="0" borderId="0" xfId="0" applyFont="1"/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horizontal="right" vertical="center" wrapText="1"/>
    </xf>
    <xf numFmtId="164" fontId="0" fillId="3" borderId="3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1" fillId="0" borderId="0" xfId="0" applyFont="1"/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4" borderId="4" xfId="0" applyNumberFormat="1" applyFont="1" applyFill="1" applyBorder="1" applyAlignment="1">
      <alignment horizontal="center" vertical="center"/>
    </xf>
    <xf numFmtId="164" fontId="11" fillId="3" borderId="3" xfId="0" applyNumberFormat="1" applyFont="1" applyFill="1" applyBorder="1" applyAlignment="1">
      <alignment horizontal="center" vertical="center"/>
    </xf>
    <xf numFmtId="164" fontId="11" fillId="3" borderId="4" xfId="0" applyNumberFormat="1" applyFont="1" applyFill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3" borderId="0" xfId="0" applyNumberFormat="1" applyFont="1" applyFill="1" applyAlignment="1">
      <alignment horizontal="center" vertical="center"/>
    </xf>
    <xf numFmtId="165" fontId="13" fillId="0" borderId="5" xfId="0" applyNumberFormat="1" applyFont="1" applyBorder="1" applyAlignment="1">
      <alignment horizontal="center" vertical="center"/>
    </xf>
    <xf numFmtId="165" fontId="13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Compte de résultats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0172388023504204E-2"/>
                  <c:y val="4.17599842166987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67-4DEA-A41F-64B1CA3CB08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67-4DEA-A41F-64B1CA3CB08E}"/>
                </c:ext>
              </c:extLst>
            </c:dLbl>
            <c:dLbl>
              <c:idx val="3"/>
              <c:layout>
                <c:manualLayout>
                  <c:x val="-6.9683872254866996E-2"/>
                  <c:y val="3.7119985970398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67-4DEA-A41F-64B1CA3CB08E}"/>
                </c:ext>
              </c:extLst>
            </c:dLbl>
            <c:dLbl>
              <c:idx val="8"/>
              <c:layout>
                <c:manualLayout>
                  <c:x val="-6.9683872254866844E-2"/>
                  <c:y val="-3.2479987724099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67-4DEA-A41F-64B1CA3CB08E}"/>
                </c:ext>
              </c:extLst>
            </c:dLbl>
            <c:dLbl>
              <c:idx val="10"/>
              <c:layout>
                <c:manualLayout>
                  <c:x val="-1.0228779225564964E-16"/>
                  <c:y val="-5.5551626926354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67-4DEA-A41F-64B1CA3CB0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(CdR!$C$53,CdR!$E$53,CdR!$G$53,CdR!$I$53,CdR!$K$53,CdR!$M$53,CdR!$O$53,CdR!$Q$53,CdR!$S$53,CdR!$U$53,CdR!$W$53)</c:f>
              <c:numCache>
                <c:formatCode>_-* #,##0.00\ [$€-40C]_-;\-* #,##0.00\ [$€-40C]_-;_-* "-"??\ [$€-40C]_-;_-@_-</c:formatCode>
                <c:ptCount val="11"/>
                <c:pt idx="0">
                  <c:v>-1076</c:v>
                </c:pt>
                <c:pt idx="1">
                  <c:v>-396</c:v>
                </c:pt>
                <c:pt idx="2">
                  <c:v>232</c:v>
                </c:pt>
                <c:pt idx="3">
                  <c:v>-1062.9099999999999</c:v>
                </c:pt>
                <c:pt idx="4">
                  <c:v>1565.23</c:v>
                </c:pt>
                <c:pt idx="5">
                  <c:v>2509.87</c:v>
                </c:pt>
                <c:pt idx="6">
                  <c:v>3228.02</c:v>
                </c:pt>
                <c:pt idx="7">
                  <c:v>3462.1299999999992</c:v>
                </c:pt>
                <c:pt idx="8">
                  <c:v>4889.9099999999989</c:v>
                </c:pt>
                <c:pt idx="9">
                  <c:v>2948.0100000000034</c:v>
                </c:pt>
                <c:pt idx="10">
                  <c:v>3952.42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7-4DEA-A41F-64B1CA3CB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4367"/>
        <c:axId val="13255807"/>
      </c:lineChart>
      <c:catAx>
        <c:axId val="13254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5807"/>
        <c:crosses val="autoZero"/>
        <c:auto val="1"/>
        <c:lblAlgn val="ctr"/>
        <c:lblOffset val="100"/>
        <c:noMultiLvlLbl val="0"/>
      </c:catAx>
      <c:valAx>
        <c:axId val="1325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40C]_-;\-* #,##0.00\ [$€-40C]_-;_-* &quot;-&quot;??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250700</xdr:colOff>
      <xdr:row>2</xdr:row>
      <xdr:rowOff>49652</xdr:rowOff>
    </xdr:from>
    <xdr:to>
      <xdr:col>32</xdr:col>
      <xdr:colOff>231162</xdr:colOff>
      <xdr:row>15</xdr:row>
      <xdr:rowOff>10592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30ADA4B-839A-5FF4-24EB-288B6B810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CE79-062B-4732-8E37-9ACB27524BAD}">
  <dimension ref="A1:AA146"/>
  <sheetViews>
    <sheetView tabSelected="1" topLeftCell="Z3" zoomScale="366" zoomScaleNormal="100" workbookViewId="0">
      <selection activeCell="AG11" sqref="AG11"/>
    </sheetView>
  </sheetViews>
  <sheetFormatPr baseColWidth="10" defaultRowHeight="15.5" x14ac:dyDescent="0.35"/>
  <cols>
    <col min="1" max="1" width="42.26953125" style="4" customWidth="1"/>
    <col min="2" max="25" width="11" style="2" customWidth="1"/>
    <col min="26" max="26" width="12.453125" style="2" bestFit="1" customWidth="1"/>
  </cols>
  <sheetData>
    <row r="1" spans="1:27" s="11" customFormat="1" ht="17.5" x14ac:dyDescent="0.35">
      <c r="A1" s="5" t="s">
        <v>0</v>
      </c>
      <c r="B1" s="39">
        <v>1</v>
      </c>
      <c r="C1" s="40"/>
      <c r="D1" s="39">
        <v>2</v>
      </c>
      <c r="E1" s="40"/>
      <c r="F1" s="39">
        <v>3</v>
      </c>
      <c r="G1" s="40"/>
      <c r="H1" s="39">
        <v>4</v>
      </c>
      <c r="I1" s="40"/>
      <c r="J1" s="39">
        <v>5</v>
      </c>
      <c r="K1" s="40"/>
      <c r="L1" s="39">
        <v>6</v>
      </c>
      <c r="M1" s="40"/>
      <c r="N1" s="39">
        <v>7</v>
      </c>
      <c r="O1" s="40"/>
      <c r="P1" s="39">
        <v>8</v>
      </c>
      <c r="Q1" s="40"/>
      <c r="R1" s="39">
        <v>9</v>
      </c>
      <c r="S1" s="40"/>
      <c r="T1" s="39">
        <v>10</v>
      </c>
      <c r="U1" s="40"/>
      <c r="V1" s="39">
        <v>11</v>
      </c>
      <c r="W1" s="40"/>
      <c r="X1" s="39">
        <v>12</v>
      </c>
      <c r="Y1" s="40"/>
      <c r="Z1" s="20" t="s">
        <v>34</v>
      </c>
    </row>
    <row r="2" spans="1:27" s="21" customFormat="1" ht="13" x14ac:dyDescent="0.3">
      <c r="B2" s="22" t="s">
        <v>31</v>
      </c>
      <c r="C2" s="23" t="s">
        <v>32</v>
      </c>
      <c r="D2" s="22" t="s">
        <v>31</v>
      </c>
      <c r="E2" s="23" t="s">
        <v>32</v>
      </c>
      <c r="F2" s="22" t="s">
        <v>31</v>
      </c>
      <c r="G2" s="23" t="s">
        <v>32</v>
      </c>
      <c r="H2" s="22" t="s">
        <v>31</v>
      </c>
      <c r="I2" s="23" t="s">
        <v>32</v>
      </c>
      <c r="J2" s="22" t="s">
        <v>31</v>
      </c>
      <c r="K2" s="23" t="s">
        <v>32</v>
      </c>
      <c r="L2" s="22" t="s">
        <v>31</v>
      </c>
      <c r="M2" s="23" t="s">
        <v>32</v>
      </c>
      <c r="N2" s="22" t="s">
        <v>31</v>
      </c>
      <c r="O2" s="23" t="s">
        <v>32</v>
      </c>
      <c r="P2" s="22" t="s">
        <v>31</v>
      </c>
      <c r="Q2" s="23" t="s">
        <v>32</v>
      </c>
      <c r="R2" s="22" t="s">
        <v>31</v>
      </c>
      <c r="S2" s="23" t="s">
        <v>32</v>
      </c>
      <c r="T2" s="22" t="s">
        <v>31</v>
      </c>
      <c r="U2" s="23" t="s">
        <v>32</v>
      </c>
      <c r="V2" s="22" t="s">
        <v>31</v>
      </c>
      <c r="W2" s="23" t="s">
        <v>32</v>
      </c>
      <c r="X2" s="22" t="s">
        <v>31</v>
      </c>
      <c r="Y2" s="23" t="s">
        <v>32</v>
      </c>
      <c r="Z2" s="34"/>
    </row>
    <row r="3" spans="1:27" ht="21" x14ac:dyDescent="0.35">
      <c r="A3" s="13" t="s">
        <v>1</v>
      </c>
      <c r="B3" s="24">
        <f t="shared" ref="B3:Y3" si="0">B4+B6</f>
        <v>0</v>
      </c>
      <c r="C3" s="25">
        <f t="shared" si="0"/>
        <v>4712</v>
      </c>
      <c r="D3" s="24">
        <f t="shared" si="0"/>
        <v>4712</v>
      </c>
      <c r="E3" s="25">
        <f t="shared" si="0"/>
        <v>4712</v>
      </c>
      <c r="F3" s="24">
        <f t="shared" si="0"/>
        <v>5560</v>
      </c>
      <c r="G3" s="25">
        <f t="shared" si="0"/>
        <v>5360</v>
      </c>
      <c r="H3" s="24">
        <f t="shared" si="0"/>
        <v>0</v>
      </c>
      <c r="I3" s="25">
        <f t="shared" si="0"/>
        <v>9660</v>
      </c>
      <c r="J3" s="24">
        <f t="shared" si="0"/>
        <v>0</v>
      </c>
      <c r="K3" s="25">
        <f t="shared" si="0"/>
        <v>11780</v>
      </c>
      <c r="L3" s="24">
        <f t="shared" si="0"/>
        <v>0</v>
      </c>
      <c r="M3" s="25">
        <f t="shared" si="0"/>
        <v>12460</v>
      </c>
      <c r="N3" s="24">
        <f t="shared" si="0"/>
        <v>27080</v>
      </c>
      <c r="O3" s="25">
        <f t="shared" si="0"/>
        <v>17047</v>
      </c>
      <c r="P3" s="24">
        <f t="shared" si="0"/>
        <v>0</v>
      </c>
      <c r="Q3" s="25">
        <f t="shared" si="0"/>
        <v>17352</v>
      </c>
      <c r="R3" s="24">
        <f t="shared" si="0"/>
        <v>0</v>
      </c>
      <c r="S3" s="25">
        <f t="shared" si="0"/>
        <v>21622</v>
      </c>
      <c r="T3" s="24">
        <f t="shared" si="0"/>
        <v>0</v>
      </c>
      <c r="U3" s="25">
        <f t="shared" si="0"/>
        <v>23138</v>
      </c>
      <c r="V3" s="24">
        <f t="shared" si="0"/>
        <v>0</v>
      </c>
      <c r="W3" s="25">
        <f t="shared" si="0"/>
        <v>23844</v>
      </c>
      <c r="X3" s="24">
        <f t="shared" si="0"/>
        <v>0</v>
      </c>
      <c r="Y3" s="25">
        <f t="shared" si="0"/>
        <v>0</v>
      </c>
      <c r="Z3" s="35">
        <f>C3+E3+G3+I3+K3+M3+O3+Q3+S3+U3+W3+Y3</f>
        <v>151687</v>
      </c>
      <c r="AA3" s="1"/>
    </row>
    <row r="4" spans="1:27" ht="17.5" x14ac:dyDescent="0.35">
      <c r="A4" s="15" t="s">
        <v>2</v>
      </c>
      <c r="B4" s="24">
        <f t="shared" ref="B4:Y4" si="1">B5</f>
        <v>0</v>
      </c>
      <c r="C4" s="25">
        <f t="shared" si="1"/>
        <v>0</v>
      </c>
      <c r="D4" s="24">
        <f t="shared" si="1"/>
        <v>0</v>
      </c>
      <c r="E4" s="25">
        <f t="shared" si="1"/>
        <v>0</v>
      </c>
      <c r="F4" s="24">
        <f t="shared" si="1"/>
        <v>0</v>
      </c>
      <c r="G4" s="25">
        <f t="shared" si="1"/>
        <v>0</v>
      </c>
      <c r="H4" s="24">
        <f t="shared" si="1"/>
        <v>0</v>
      </c>
      <c r="I4" s="25">
        <f t="shared" si="1"/>
        <v>0</v>
      </c>
      <c r="J4" s="24">
        <f t="shared" si="1"/>
        <v>0</v>
      </c>
      <c r="K4" s="25">
        <f t="shared" si="1"/>
        <v>0</v>
      </c>
      <c r="L4" s="24">
        <f t="shared" si="1"/>
        <v>0</v>
      </c>
      <c r="M4" s="25">
        <f t="shared" si="1"/>
        <v>0</v>
      </c>
      <c r="N4" s="24">
        <f t="shared" si="1"/>
        <v>9600</v>
      </c>
      <c r="O4" s="25">
        <f t="shared" si="1"/>
        <v>5832</v>
      </c>
      <c r="P4" s="24">
        <f t="shared" si="1"/>
        <v>0</v>
      </c>
      <c r="Q4" s="25">
        <f t="shared" si="1"/>
        <v>6048</v>
      </c>
      <c r="R4" s="24">
        <f t="shared" si="1"/>
        <v>0</v>
      </c>
      <c r="S4" s="25">
        <f t="shared" si="1"/>
        <v>7406</v>
      </c>
      <c r="T4" s="24">
        <f t="shared" si="1"/>
        <v>0</v>
      </c>
      <c r="U4" s="25">
        <f t="shared" si="1"/>
        <v>7938</v>
      </c>
      <c r="V4" s="24">
        <f t="shared" si="1"/>
        <v>0</v>
      </c>
      <c r="W4" s="25">
        <f t="shared" si="1"/>
        <v>8204</v>
      </c>
      <c r="X4" s="24">
        <f t="shared" si="1"/>
        <v>0</v>
      </c>
      <c r="Y4" s="25">
        <f t="shared" si="1"/>
        <v>0</v>
      </c>
      <c r="Z4" s="35">
        <f t="shared" ref="Z4:Z37" si="2">C4+E4+G4+I4+K4+M4+O4+Q4+S4+U4+W4+Y4</f>
        <v>35428</v>
      </c>
      <c r="AA4" s="1"/>
    </row>
    <row r="5" spans="1:27" ht="16.5" x14ac:dyDescent="0.35">
      <c r="A5" s="32" t="s">
        <v>3</v>
      </c>
      <c r="B5" s="26">
        <v>0</v>
      </c>
      <c r="C5" s="27">
        <v>0</v>
      </c>
      <c r="D5" s="26">
        <v>0</v>
      </c>
      <c r="E5" s="27">
        <v>0</v>
      </c>
      <c r="F5" s="26">
        <v>0</v>
      </c>
      <c r="G5" s="27">
        <v>0</v>
      </c>
      <c r="H5" s="26">
        <v>0</v>
      </c>
      <c r="I5" s="27">
        <v>0</v>
      </c>
      <c r="J5" s="26">
        <v>0</v>
      </c>
      <c r="K5" s="27">
        <v>0</v>
      </c>
      <c r="L5" s="26">
        <v>0</v>
      </c>
      <c r="M5" s="27">
        <v>0</v>
      </c>
      <c r="N5" s="26">
        <v>9600</v>
      </c>
      <c r="O5" s="27">
        <v>5832</v>
      </c>
      <c r="P5" s="26">
        <v>0</v>
      </c>
      <c r="Q5" s="27">
        <v>6048</v>
      </c>
      <c r="R5" s="26">
        <v>0</v>
      </c>
      <c r="S5" s="27">
        <v>7406</v>
      </c>
      <c r="T5" s="26">
        <v>0</v>
      </c>
      <c r="U5" s="27">
        <v>7938</v>
      </c>
      <c r="V5" s="26">
        <v>0</v>
      </c>
      <c r="W5" s="27">
        <v>8204</v>
      </c>
      <c r="X5" s="26">
        <v>0</v>
      </c>
      <c r="Y5" s="27">
        <v>0</v>
      </c>
      <c r="Z5" s="35">
        <f t="shared" si="2"/>
        <v>35428</v>
      </c>
      <c r="AA5" s="1"/>
    </row>
    <row r="6" spans="1:27" ht="17.5" x14ac:dyDescent="0.35">
      <c r="A6" s="15" t="s">
        <v>4</v>
      </c>
      <c r="B6" s="24">
        <f t="shared" ref="B6:C6" si="3">B7+B8</f>
        <v>0</v>
      </c>
      <c r="C6" s="25">
        <f t="shared" si="3"/>
        <v>4712</v>
      </c>
      <c r="D6" s="24">
        <f t="shared" ref="D6:E6" si="4">D7+D8</f>
        <v>4712</v>
      </c>
      <c r="E6" s="25">
        <f t="shared" si="4"/>
        <v>4712</v>
      </c>
      <c r="F6" s="24">
        <f t="shared" ref="F6:I6" si="5">F7+F8</f>
        <v>5560</v>
      </c>
      <c r="G6" s="25">
        <f t="shared" si="5"/>
        <v>5360</v>
      </c>
      <c r="H6" s="24">
        <f t="shared" si="5"/>
        <v>0</v>
      </c>
      <c r="I6" s="25">
        <f t="shared" si="5"/>
        <v>9660</v>
      </c>
      <c r="J6" s="24">
        <f t="shared" ref="J6:K6" si="6">J7+J8</f>
        <v>0</v>
      </c>
      <c r="K6" s="25">
        <f t="shared" si="6"/>
        <v>11780</v>
      </c>
      <c r="L6" s="24">
        <f t="shared" ref="L6:M6" si="7">L7+L8</f>
        <v>0</v>
      </c>
      <c r="M6" s="25">
        <f t="shared" si="7"/>
        <v>12460</v>
      </c>
      <c r="N6" s="24">
        <f t="shared" ref="N6:O6" si="8">N7+N8</f>
        <v>17480</v>
      </c>
      <c r="O6" s="25">
        <f t="shared" si="8"/>
        <v>11215</v>
      </c>
      <c r="P6" s="24">
        <f t="shared" ref="P6:Q6" si="9">P7+P8</f>
        <v>0</v>
      </c>
      <c r="Q6" s="25">
        <f t="shared" si="9"/>
        <v>11304</v>
      </c>
      <c r="R6" s="24">
        <f t="shared" ref="R6:S6" si="10">R7+R8</f>
        <v>0</v>
      </c>
      <c r="S6" s="25">
        <f t="shared" si="10"/>
        <v>14216</v>
      </c>
      <c r="T6" s="24">
        <f t="shared" ref="T6:U6" si="11">T7+T8</f>
        <v>0</v>
      </c>
      <c r="U6" s="25">
        <f t="shared" si="11"/>
        <v>15200</v>
      </c>
      <c r="V6" s="24">
        <f t="shared" ref="V6:Y6" si="12">V7+V8</f>
        <v>0</v>
      </c>
      <c r="W6" s="25">
        <f t="shared" si="12"/>
        <v>15640</v>
      </c>
      <c r="X6" s="24">
        <f t="shared" si="12"/>
        <v>0</v>
      </c>
      <c r="Y6" s="25">
        <f t="shared" si="12"/>
        <v>0</v>
      </c>
      <c r="Z6" s="35">
        <f t="shared" si="2"/>
        <v>116259</v>
      </c>
      <c r="AA6" s="1"/>
    </row>
    <row r="7" spans="1:27" ht="16.5" x14ac:dyDescent="0.35">
      <c r="A7" s="32" t="s">
        <v>5</v>
      </c>
      <c r="B7" s="26">
        <v>0</v>
      </c>
      <c r="C7" s="27">
        <v>4712</v>
      </c>
      <c r="D7" s="26">
        <v>4712</v>
      </c>
      <c r="E7" s="27">
        <v>4712</v>
      </c>
      <c r="F7" s="26">
        <v>5560</v>
      </c>
      <c r="G7" s="27">
        <v>5360</v>
      </c>
      <c r="H7" s="26">
        <v>0</v>
      </c>
      <c r="I7" s="27">
        <v>5840</v>
      </c>
      <c r="J7" s="26">
        <v>0</v>
      </c>
      <c r="K7" s="27">
        <v>6400</v>
      </c>
      <c r="L7" s="26">
        <v>0</v>
      </c>
      <c r="M7" s="27">
        <v>6680</v>
      </c>
      <c r="N7" s="26">
        <v>11680</v>
      </c>
      <c r="O7" s="27">
        <v>6880</v>
      </c>
      <c r="P7" s="26">
        <v>0</v>
      </c>
      <c r="Q7" s="27">
        <v>6680</v>
      </c>
      <c r="R7" s="26">
        <v>0</v>
      </c>
      <c r="S7" s="27">
        <v>8760</v>
      </c>
      <c r="T7" s="26">
        <v>0</v>
      </c>
      <c r="U7" s="27">
        <v>9520</v>
      </c>
      <c r="V7" s="26">
        <v>0</v>
      </c>
      <c r="W7" s="27">
        <v>9560</v>
      </c>
      <c r="X7" s="26">
        <v>0</v>
      </c>
      <c r="Y7" s="27">
        <v>0</v>
      </c>
      <c r="Z7" s="35">
        <f t="shared" si="2"/>
        <v>75104</v>
      </c>
      <c r="AA7" s="1"/>
    </row>
    <row r="8" spans="1:27" ht="16.5" x14ac:dyDescent="0.35">
      <c r="A8" s="32" t="s">
        <v>6</v>
      </c>
      <c r="B8" s="26">
        <v>0</v>
      </c>
      <c r="C8" s="27">
        <v>0</v>
      </c>
      <c r="D8" s="26">
        <v>0</v>
      </c>
      <c r="E8" s="27">
        <v>0</v>
      </c>
      <c r="F8" s="26">
        <v>0</v>
      </c>
      <c r="G8" s="27">
        <v>0</v>
      </c>
      <c r="H8" s="26">
        <v>0</v>
      </c>
      <c r="I8" s="27">
        <v>3820</v>
      </c>
      <c r="J8" s="26">
        <v>0</v>
      </c>
      <c r="K8" s="27">
        <v>5380</v>
      </c>
      <c r="L8" s="26">
        <v>0</v>
      </c>
      <c r="M8" s="27">
        <v>5780</v>
      </c>
      <c r="N8" s="26">
        <v>5800</v>
      </c>
      <c r="O8" s="27">
        <v>4335</v>
      </c>
      <c r="P8" s="26">
        <v>0</v>
      </c>
      <c r="Q8" s="27">
        <v>4624</v>
      </c>
      <c r="R8" s="26">
        <v>0</v>
      </c>
      <c r="S8" s="27">
        <v>5456</v>
      </c>
      <c r="T8" s="26">
        <v>0</v>
      </c>
      <c r="U8" s="27">
        <v>5680</v>
      </c>
      <c r="V8" s="26">
        <v>0</v>
      </c>
      <c r="W8" s="27">
        <v>6080</v>
      </c>
      <c r="X8" s="26">
        <v>0</v>
      </c>
      <c r="Y8" s="27">
        <v>0</v>
      </c>
      <c r="Z8" s="35">
        <f t="shared" si="2"/>
        <v>41155</v>
      </c>
      <c r="AA8" s="1"/>
    </row>
    <row r="9" spans="1:27" ht="6" customHeight="1" x14ac:dyDescent="0.35">
      <c r="A9" s="14"/>
      <c r="B9" s="28"/>
      <c r="C9" s="29"/>
      <c r="D9" s="28"/>
      <c r="E9" s="29"/>
      <c r="F9" s="28"/>
      <c r="G9" s="29"/>
      <c r="H9" s="28"/>
      <c r="I9" s="29"/>
      <c r="J9" s="28"/>
      <c r="K9" s="29"/>
      <c r="L9" s="28"/>
      <c r="M9" s="29"/>
      <c r="N9" s="28"/>
      <c r="O9" s="29"/>
      <c r="P9" s="28"/>
      <c r="Q9" s="29"/>
      <c r="R9" s="28"/>
      <c r="S9" s="29"/>
      <c r="T9" s="28"/>
      <c r="U9" s="29"/>
      <c r="V9" s="28"/>
      <c r="W9" s="29"/>
      <c r="X9" s="28"/>
      <c r="Y9" s="29"/>
      <c r="Z9" s="36"/>
      <c r="AA9" s="1"/>
    </row>
    <row r="10" spans="1:27" ht="21" x14ac:dyDescent="0.35">
      <c r="A10" s="13" t="s">
        <v>7</v>
      </c>
      <c r="B10" s="24">
        <f t="shared" ref="B10:Y10" si="13">B11+B13+B14+B15+B31+B37</f>
        <v>900</v>
      </c>
      <c r="C10" s="25">
        <f t="shared" si="13"/>
        <v>5788</v>
      </c>
      <c r="D10" s="24">
        <f t="shared" si="13"/>
        <v>4968</v>
      </c>
      <c r="E10" s="25">
        <f t="shared" si="13"/>
        <v>5108</v>
      </c>
      <c r="F10" s="24">
        <f t="shared" si="13"/>
        <v>4768</v>
      </c>
      <c r="G10" s="25">
        <f t="shared" si="13"/>
        <v>5128</v>
      </c>
      <c r="H10" s="24">
        <f t="shared" si="13"/>
        <v>2550</v>
      </c>
      <c r="I10" s="25">
        <f t="shared" si="13"/>
        <v>10715.83</v>
      </c>
      <c r="J10" s="24">
        <f t="shared" si="13"/>
        <v>0</v>
      </c>
      <c r="K10" s="25">
        <f t="shared" si="13"/>
        <v>10207.83</v>
      </c>
      <c r="L10" s="24">
        <f t="shared" si="13"/>
        <v>0</v>
      </c>
      <c r="M10" s="25">
        <f t="shared" si="13"/>
        <v>9943.33</v>
      </c>
      <c r="N10" s="24">
        <f t="shared" si="13"/>
        <v>16343.33</v>
      </c>
      <c r="O10" s="25">
        <f t="shared" si="13"/>
        <v>13812.33</v>
      </c>
      <c r="P10" s="24">
        <f t="shared" si="13"/>
        <v>4200</v>
      </c>
      <c r="Q10" s="25">
        <f t="shared" si="13"/>
        <v>13883.36</v>
      </c>
      <c r="R10" s="24">
        <f t="shared" si="13"/>
        <v>4200</v>
      </c>
      <c r="S10" s="25">
        <f t="shared" si="13"/>
        <v>16725.72</v>
      </c>
      <c r="T10" s="24">
        <f t="shared" si="13"/>
        <v>4200</v>
      </c>
      <c r="U10" s="25">
        <f t="shared" si="13"/>
        <v>20183.769999999997</v>
      </c>
      <c r="V10" s="24">
        <f t="shared" si="13"/>
        <v>4200</v>
      </c>
      <c r="W10" s="25">
        <f t="shared" si="13"/>
        <v>19885.5</v>
      </c>
      <c r="X10" s="24">
        <f t="shared" si="13"/>
        <v>4200</v>
      </c>
      <c r="Y10" s="25">
        <f t="shared" si="13"/>
        <v>0</v>
      </c>
      <c r="Z10" s="35">
        <f t="shared" si="2"/>
        <v>131381.67000000001</v>
      </c>
      <c r="AA10" s="1"/>
    </row>
    <row r="11" spans="1:27" ht="17.5" x14ac:dyDescent="0.35">
      <c r="A11" s="15" t="s">
        <v>8</v>
      </c>
      <c r="B11" s="24">
        <f t="shared" ref="B11:Y11" si="14">B12</f>
        <v>0</v>
      </c>
      <c r="C11" s="25">
        <f t="shared" si="14"/>
        <v>0</v>
      </c>
      <c r="D11" s="24">
        <f t="shared" si="14"/>
        <v>0</v>
      </c>
      <c r="E11" s="25">
        <f t="shared" si="14"/>
        <v>0</v>
      </c>
      <c r="F11" s="24">
        <f t="shared" si="14"/>
        <v>0</v>
      </c>
      <c r="G11" s="25">
        <f t="shared" si="14"/>
        <v>0</v>
      </c>
      <c r="H11" s="24">
        <f t="shared" si="14"/>
        <v>0</v>
      </c>
      <c r="I11" s="25">
        <f t="shared" si="14"/>
        <v>0</v>
      </c>
      <c r="J11" s="24">
        <f t="shared" si="14"/>
        <v>0</v>
      </c>
      <c r="K11" s="25">
        <f t="shared" si="14"/>
        <v>0</v>
      </c>
      <c r="L11" s="24">
        <f t="shared" si="14"/>
        <v>0</v>
      </c>
      <c r="M11" s="25">
        <f t="shared" si="14"/>
        <v>0</v>
      </c>
      <c r="N11" s="24">
        <f t="shared" si="14"/>
        <v>6400</v>
      </c>
      <c r="O11" s="25">
        <f t="shared" si="14"/>
        <v>6400</v>
      </c>
      <c r="P11" s="24">
        <f t="shared" si="14"/>
        <v>0</v>
      </c>
      <c r="Q11" s="25">
        <f t="shared" si="14"/>
        <v>4000</v>
      </c>
      <c r="R11" s="24">
        <f t="shared" si="14"/>
        <v>0</v>
      </c>
      <c r="S11" s="25">
        <f t="shared" si="14"/>
        <v>4000</v>
      </c>
      <c r="T11" s="24">
        <f t="shared" si="14"/>
        <v>0</v>
      </c>
      <c r="U11" s="25">
        <f t="shared" si="14"/>
        <v>6000</v>
      </c>
      <c r="V11" s="24">
        <f t="shared" si="14"/>
        <v>0</v>
      </c>
      <c r="W11" s="25">
        <f t="shared" si="14"/>
        <v>8000</v>
      </c>
      <c r="X11" s="24">
        <f t="shared" si="14"/>
        <v>0</v>
      </c>
      <c r="Y11" s="25">
        <f t="shared" si="14"/>
        <v>0</v>
      </c>
      <c r="Z11" s="35">
        <f t="shared" si="2"/>
        <v>28400</v>
      </c>
      <c r="AA11" s="1"/>
    </row>
    <row r="12" spans="1:27" ht="16.5" x14ac:dyDescent="0.35">
      <c r="A12" s="33" t="s">
        <v>3</v>
      </c>
      <c r="B12" s="26">
        <v>0</v>
      </c>
      <c r="C12" s="27">
        <v>0</v>
      </c>
      <c r="D12" s="26">
        <v>0</v>
      </c>
      <c r="E12" s="27">
        <v>0</v>
      </c>
      <c r="F12" s="26">
        <v>0</v>
      </c>
      <c r="G12" s="27">
        <v>0</v>
      </c>
      <c r="H12" s="26">
        <v>0</v>
      </c>
      <c r="I12" s="27">
        <v>0</v>
      </c>
      <c r="J12" s="26">
        <v>0</v>
      </c>
      <c r="K12" s="27">
        <v>0</v>
      </c>
      <c r="L12" s="26">
        <v>0</v>
      </c>
      <c r="M12" s="27">
        <v>0</v>
      </c>
      <c r="N12" s="26">
        <v>6400</v>
      </c>
      <c r="O12" s="27">
        <v>6400</v>
      </c>
      <c r="P12" s="26">
        <v>0</v>
      </c>
      <c r="Q12" s="27">
        <v>4000</v>
      </c>
      <c r="R12" s="26">
        <v>0</v>
      </c>
      <c r="S12" s="27">
        <v>4000</v>
      </c>
      <c r="T12" s="26">
        <v>0</v>
      </c>
      <c r="U12" s="27">
        <v>6000</v>
      </c>
      <c r="V12" s="26">
        <v>0</v>
      </c>
      <c r="W12" s="27">
        <v>8000</v>
      </c>
      <c r="X12" s="26">
        <v>0</v>
      </c>
      <c r="Y12" s="27">
        <v>0</v>
      </c>
      <c r="Z12" s="35">
        <f t="shared" si="2"/>
        <v>28400</v>
      </c>
      <c r="AA12" s="1"/>
    </row>
    <row r="13" spans="1:27" ht="17.5" x14ac:dyDescent="0.35">
      <c r="A13" s="15" t="s">
        <v>64</v>
      </c>
      <c r="B13" s="26">
        <v>0</v>
      </c>
      <c r="C13" s="27">
        <v>0</v>
      </c>
      <c r="D13" s="26">
        <v>0</v>
      </c>
      <c r="E13" s="27">
        <v>0</v>
      </c>
      <c r="F13" s="26">
        <v>0</v>
      </c>
      <c r="G13" s="27">
        <v>0</v>
      </c>
      <c r="H13" s="26">
        <v>0</v>
      </c>
      <c r="I13" s="27">
        <v>0</v>
      </c>
      <c r="J13" s="26">
        <v>0</v>
      </c>
      <c r="K13" s="27">
        <v>0</v>
      </c>
      <c r="L13" s="26">
        <v>0</v>
      </c>
      <c r="M13" s="27">
        <v>0</v>
      </c>
      <c r="N13" s="26">
        <v>0</v>
      </c>
      <c r="O13" s="27">
        <v>-2512</v>
      </c>
      <c r="P13" s="26">
        <v>0</v>
      </c>
      <c r="Q13" s="27">
        <v>-59.97</v>
      </c>
      <c r="R13" s="26">
        <v>0</v>
      </c>
      <c r="S13" s="27">
        <v>-1097.6099999999999</v>
      </c>
      <c r="T13" s="26">
        <v>0</v>
      </c>
      <c r="U13" s="27">
        <v>-371.9</v>
      </c>
      <c r="V13" s="26">
        <v>0</v>
      </c>
      <c r="W13" s="27">
        <v>-2148.17</v>
      </c>
      <c r="X13" s="26">
        <v>0</v>
      </c>
      <c r="Y13" s="27">
        <v>0</v>
      </c>
      <c r="Z13" s="35">
        <f t="shared" si="2"/>
        <v>-6189.65</v>
      </c>
      <c r="AA13" s="1"/>
    </row>
    <row r="14" spans="1:27" ht="17.5" x14ac:dyDescent="0.35">
      <c r="A14" s="15" t="s">
        <v>63</v>
      </c>
      <c r="B14" s="26">
        <v>0</v>
      </c>
      <c r="C14" s="27">
        <v>248</v>
      </c>
      <c r="D14" s="26">
        <v>248</v>
      </c>
      <c r="E14" s="27">
        <v>248</v>
      </c>
      <c r="F14" s="26">
        <v>248</v>
      </c>
      <c r="G14" s="27">
        <v>268</v>
      </c>
      <c r="H14" s="26">
        <v>0</v>
      </c>
      <c r="I14" s="27">
        <v>387.5</v>
      </c>
      <c r="J14" s="26">
        <v>0</v>
      </c>
      <c r="K14" s="27">
        <v>454.5</v>
      </c>
      <c r="L14" s="26">
        <v>0</v>
      </c>
      <c r="M14" s="27">
        <v>790</v>
      </c>
      <c r="N14" s="26">
        <v>790</v>
      </c>
      <c r="O14" s="27">
        <v>771</v>
      </c>
      <c r="P14" s="26">
        <v>0</v>
      </c>
      <c r="Q14" s="27">
        <v>790</v>
      </c>
      <c r="R14" s="26">
        <v>0</v>
      </c>
      <c r="S14" s="27">
        <v>1680</v>
      </c>
      <c r="T14" s="26">
        <v>0</v>
      </c>
      <c r="U14" s="27">
        <v>1779</v>
      </c>
      <c r="V14" s="26">
        <v>0</v>
      </c>
      <c r="W14" s="27">
        <v>1857</v>
      </c>
      <c r="X14" s="26">
        <v>0</v>
      </c>
      <c r="Y14" s="27">
        <v>0</v>
      </c>
      <c r="Z14" s="35">
        <f t="shared" si="2"/>
        <v>9273</v>
      </c>
      <c r="AA14" s="1"/>
    </row>
    <row r="15" spans="1:27" ht="17.5" x14ac:dyDescent="0.35">
      <c r="A15" s="15" t="s">
        <v>9</v>
      </c>
      <c r="B15" s="24">
        <f t="shared" ref="B15:Y15" si="15">SUM(B16:B30)</f>
        <v>900</v>
      </c>
      <c r="C15" s="25">
        <f t="shared" si="15"/>
        <v>2000</v>
      </c>
      <c r="D15" s="24">
        <f t="shared" si="15"/>
        <v>1180</v>
      </c>
      <c r="E15" s="25">
        <f t="shared" si="15"/>
        <v>1250</v>
      </c>
      <c r="F15" s="24">
        <f t="shared" si="15"/>
        <v>980</v>
      </c>
      <c r="G15" s="25">
        <f t="shared" si="15"/>
        <v>1250</v>
      </c>
      <c r="H15" s="24">
        <f t="shared" si="15"/>
        <v>2550</v>
      </c>
      <c r="I15" s="25">
        <f t="shared" si="15"/>
        <v>3975</v>
      </c>
      <c r="J15" s="24">
        <f t="shared" si="15"/>
        <v>0</v>
      </c>
      <c r="K15" s="25">
        <f t="shared" si="15"/>
        <v>3400</v>
      </c>
      <c r="L15" s="24">
        <f t="shared" si="15"/>
        <v>0</v>
      </c>
      <c r="M15" s="25">
        <f t="shared" si="15"/>
        <v>2800</v>
      </c>
      <c r="N15" s="24">
        <f t="shared" si="15"/>
        <v>2800</v>
      </c>
      <c r="O15" s="25">
        <f t="shared" si="15"/>
        <v>2800</v>
      </c>
      <c r="P15" s="24">
        <f t="shared" si="15"/>
        <v>1500</v>
      </c>
      <c r="Q15" s="25">
        <f t="shared" si="15"/>
        <v>2800</v>
      </c>
      <c r="R15" s="24">
        <f t="shared" si="15"/>
        <v>1500</v>
      </c>
      <c r="S15" s="25">
        <f t="shared" si="15"/>
        <v>2850</v>
      </c>
      <c r="T15" s="24">
        <f t="shared" si="15"/>
        <v>1500</v>
      </c>
      <c r="U15" s="25">
        <f t="shared" si="15"/>
        <v>3400</v>
      </c>
      <c r="V15" s="24">
        <f t="shared" si="15"/>
        <v>1500</v>
      </c>
      <c r="W15" s="25">
        <f t="shared" si="15"/>
        <v>2800</v>
      </c>
      <c r="X15" s="24">
        <f t="shared" si="15"/>
        <v>1500</v>
      </c>
      <c r="Y15" s="25">
        <f t="shared" si="15"/>
        <v>0</v>
      </c>
      <c r="Z15" s="35">
        <f t="shared" si="2"/>
        <v>29325</v>
      </c>
      <c r="AA15" s="1"/>
    </row>
    <row r="16" spans="1:27" ht="16.5" x14ac:dyDescent="0.35">
      <c r="A16" s="33" t="s">
        <v>72</v>
      </c>
      <c r="B16" s="26">
        <v>0</v>
      </c>
      <c r="C16" s="27">
        <v>0</v>
      </c>
      <c r="D16" s="26">
        <v>0</v>
      </c>
      <c r="E16" s="27">
        <v>0</v>
      </c>
      <c r="F16" s="26">
        <v>0</v>
      </c>
      <c r="G16" s="27">
        <v>0</v>
      </c>
      <c r="H16" s="26">
        <v>0</v>
      </c>
      <c r="I16" s="27">
        <v>0</v>
      </c>
      <c r="J16" s="26">
        <v>0</v>
      </c>
      <c r="K16" s="27">
        <v>0</v>
      </c>
      <c r="L16" s="26">
        <v>0</v>
      </c>
      <c r="M16" s="27">
        <v>0</v>
      </c>
      <c r="N16" s="26">
        <v>0</v>
      </c>
      <c r="O16" s="27">
        <v>0</v>
      </c>
      <c r="P16" s="26">
        <v>0</v>
      </c>
      <c r="Q16" s="27">
        <v>0</v>
      </c>
      <c r="R16" s="26">
        <v>0</v>
      </c>
      <c r="S16" s="27">
        <v>0</v>
      </c>
      <c r="T16" s="26">
        <v>0</v>
      </c>
      <c r="U16" s="27">
        <v>0</v>
      </c>
      <c r="V16" s="26">
        <v>0</v>
      </c>
      <c r="W16" s="27">
        <v>0</v>
      </c>
      <c r="X16" s="26">
        <v>0</v>
      </c>
      <c r="Y16" s="27">
        <v>0</v>
      </c>
      <c r="Z16" s="35">
        <f t="shared" si="2"/>
        <v>0</v>
      </c>
      <c r="AA16" s="1"/>
    </row>
    <row r="17" spans="1:27" ht="16.5" x14ac:dyDescent="0.35">
      <c r="A17" s="33" t="s">
        <v>73</v>
      </c>
      <c r="B17" s="26">
        <v>0</v>
      </c>
      <c r="C17" s="27">
        <v>600</v>
      </c>
      <c r="D17" s="26">
        <v>30</v>
      </c>
      <c r="E17" s="27">
        <v>0</v>
      </c>
      <c r="F17" s="26">
        <v>30</v>
      </c>
      <c r="G17" s="27">
        <v>0</v>
      </c>
      <c r="H17" s="26">
        <v>0</v>
      </c>
      <c r="I17" s="27">
        <v>0</v>
      </c>
      <c r="J17" s="26">
        <v>0</v>
      </c>
      <c r="K17" s="27">
        <v>600</v>
      </c>
      <c r="L17" s="26">
        <v>0</v>
      </c>
      <c r="M17" s="27">
        <v>0</v>
      </c>
      <c r="N17" s="26">
        <v>0</v>
      </c>
      <c r="O17" s="27">
        <v>0</v>
      </c>
      <c r="P17" s="26">
        <v>0</v>
      </c>
      <c r="Q17" s="27">
        <v>0</v>
      </c>
      <c r="R17" s="26">
        <v>0</v>
      </c>
      <c r="S17" s="27">
        <v>0</v>
      </c>
      <c r="T17" s="26">
        <v>0</v>
      </c>
      <c r="U17" s="27">
        <v>600</v>
      </c>
      <c r="V17" s="26">
        <v>0</v>
      </c>
      <c r="W17" s="27">
        <v>0</v>
      </c>
      <c r="X17" s="26">
        <v>0</v>
      </c>
      <c r="Y17" s="27">
        <v>0</v>
      </c>
      <c r="Z17" s="35">
        <f t="shared" si="2"/>
        <v>1800</v>
      </c>
      <c r="AA17" s="1"/>
    </row>
    <row r="18" spans="1:27" ht="16.5" x14ac:dyDescent="0.35">
      <c r="A18" s="33" t="s">
        <v>74</v>
      </c>
      <c r="B18" s="26">
        <v>0</v>
      </c>
      <c r="C18" s="27">
        <v>0</v>
      </c>
      <c r="D18" s="26">
        <v>0</v>
      </c>
      <c r="E18" s="27">
        <v>0</v>
      </c>
      <c r="F18" s="26">
        <v>0</v>
      </c>
      <c r="G18" s="27">
        <v>0</v>
      </c>
      <c r="H18" s="26">
        <v>0</v>
      </c>
      <c r="I18" s="27">
        <v>0</v>
      </c>
      <c r="J18" s="26">
        <v>0</v>
      </c>
      <c r="K18" s="27">
        <v>0</v>
      </c>
      <c r="L18" s="26">
        <v>0</v>
      </c>
      <c r="M18" s="27">
        <v>0</v>
      </c>
      <c r="N18" s="26">
        <v>0</v>
      </c>
      <c r="O18" s="27">
        <v>0</v>
      </c>
      <c r="P18" s="26">
        <v>0</v>
      </c>
      <c r="Q18" s="27">
        <v>0</v>
      </c>
      <c r="R18" s="26">
        <v>0</v>
      </c>
      <c r="S18" s="27">
        <v>0</v>
      </c>
      <c r="T18" s="26">
        <v>0</v>
      </c>
      <c r="U18" s="27">
        <v>0</v>
      </c>
      <c r="V18" s="26">
        <v>0</v>
      </c>
      <c r="W18" s="27">
        <v>0</v>
      </c>
      <c r="X18" s="26">
        <v>0</v>
      </c>
      <c r="Y18" s="27">
        <v>0</v>
      </c>
      <c r="Z18" s="35">
        <f t="shared" si="2"/>
        <v>0</v>
      </c>
      <c r="AA18" s="1"/>
    </row>
    <row r="19" spans="1:27" ht="16.5" x14ac:dyDescent="0.35">
      <c r="A19" s="33" t="s">
        <v>75</v>
      </c>
      <c r="B19" s="26">
        <v>0</v>
      </c>
      <c r="C19" s="27">
        <v>0</v>
      </c>
      <c r="D19" s="26">
        <v>0</v>
      </c>
      <c r="E19" s="27">
        <v>0</v>
      </c>
      <c r="F19" s="26">
        <v>0</v>
      </c>
      <c r="G19" s="27">
        <v>0</v>
      </c>
      <c r="H19" s="26">
        <v>0</v>
      </c>
      <c r="I19" s="27">
        <v>0</v>
      </c>
      <c r="J19" s="26">
        <v>0</v>
      </c>
      <c r="K19" s="27">
        <v>0</v>
      </c>
      <c r="L19" s="26">
        <v>0</v>
      </c>
      <c r="M19" s="27">
        <v>0</v>
      </c>
      <c r="N19" s="26">
        <v>0</v>
      </c>
      <c r="O19" s="27">
        <v>0</v>
      </c>
      <c r="P19" s="26">
        <v>0</v>
      </c>
      <c r="Q19" s="27">
        <v>0</v>
      </c>
      <c r="R19" s="26">
        <v>0</v>
      </c>
      <c r="S19" s="27">
        <v>0</v>
      </c>
      <c r="T19" s="26">
        <v>0</v>
      </c>
      <c r="U19" s="27">
        <v>0</v>
      </c>
      <c r="V19" s="26">
        <v>0</v>
      </c>
      <c r="W19" s="27">
        <v>0</v>
      </c>
      <c r="X19" s="26">
        <v>0</v>
      </c>
      <c r="Y19" s="27">
        <v>0</v>
      </c>
      <c r="Z19" s="35">
        <f t="shared" si="2"/>
        <v>0</v>
      </c>
      <c r="AA19" s="1"/>
    </row>
    <row r="20" spans="1:27" ht="16.5" x14ac:dyDescent="0.35">
      <c r="A20" s="33" t="s">
        <v>10</v>
      </c>
      <c r="B20" s="26">
        <v>900</v>
      </c>
      <c r="C20" s="27">
        <v>900</v>
      </c>
      <c r="D20" s="26">
        <v>700</v>
      </c>
      <c r="E20" s="27">
        <v>700</v>
      </c>
      <c r="F20" s="26">
        <v>500</v>
      </c>
      <c r="G20" s="27">
        <v>700</v>
      </c>
      <c r="H20" s="26">
        <v>0</v>
      </c>
      <c r="I20" s="27">
        <v>700</v>
      </c>
      <c r="J20" s="26">
        <v>0</v>
      </c>
      <c r="K20" s="27">
        <v>900</v>
      </c>
      <c r="L20" s="26">
        <v>0</v>
      </c>
      <c r="M20" s="27">
        <v>900</v>
      </c>
      <c r="N20" s="26">
        <v>900</v>
      </c>
      <c r="O20" s="27">
        <v>900</v>
      </c>
      <c r="P20" s="26">
        <v>0</v>
      </c>
      <c r="Q20" s="27">
        <v>900</v>
      </c>
      <c r="R20" s="26">
        <v>0</v>
      </c>
      <c r="S20" s="27">
        <v>900</v>
      </c>
      <c r="T20" s="26">
        <v>0</v>
      </c>
      <c r="U20" s="27">
        <v>900</v>
      </c>
      <c r="V20" s="26">
        <v>0</v>
      </c>
      <c r="W20" s="27">
        <v>900</v>
      </c>
      <c r="X20" s="26">
        <v>0</v>
      </c>
      <c r="Y20" s="27">
        <v>0</v>
      </c>
      <c r="Z20" s="35">
        <f t="shared" si="2"/>
        <v>9300</v>
      </c>
      <c r="AA20" s="1"/>
    </row>
    <row r="21" spans="1:27" ht="16.5" x14ac:dyDescent="0.35">
      <c r="A21" s="33" t="s">
        <v>71</v>
      </c>
      <c r="B21" s="26">
        <v>0</v>
      </c>
      <c r="C21" s="27">
        <v>0</v>
      </c>
      <c r="D21" s="26">
        <v>0</v>
      </c>
      <c r="E21" s="27">
        <v>0</v>
      </c>
      <c r="F21" s="26">
        <v>0</v>
      </c>
      <c r="G21" s="27">
        <v>0</v>
      </c>
      <c r="H21" s="26">
        <v>0</v>
      </c>
      <c r="I21" s="27">
        <v>0</v>
      </c>
      <c r="J21" s="26">
        <v>0</v>
      </c>
      <c r="K21" s="27">
        <v>300</v>
      </c>
      <c r="L21" s="26">
        <v>0</v>
      </c>
      <c r="M21" s="27">
        <v>300</v>
      </c>
      <c r="N21" s="26">
        <v>300</v>
      </c>
      <c r="O21" s="27">
        <v>300</v>
      </c>
      <c r="P21" s="26">
        <v>0</v>
      </c>
      <c r="Q21" s="27">
        <v>300</v>
      </c>
      <c r="R21" s="26">
        <v>0</v>
      </c>
      <c r="S21" s="27">
        <v>300</v>
      </c>
      <c r="T21" s="26">
        <v>0</v>
      </c>
      <c r="U21" s="27">
        <v>300</v>
      </c>
      <c r="V21" s="26">
        <v>0</v>
      </c>
      <c r="W21" s="27">
        <v>300</v>
      </c>
      <c r="X21" s="26">
        <v>0</v>
      </c>
      <c r="Y21" s="27">
        <v>0</v>
      </c>
      <c r="Z21" s="35">
        <f t="shared" si="2"/>
        <v>2100</v>
      </c>
      <c r="AA21" s="1"/>
    </row>
    <row r="22" spans="1:27" ht="16.5" x14ac:dyDescent="0.35">
      <c r="A22" s="33" t="s">
        <v>62</v>
      </c>
      <c r="B22" s="26">
        <v>0</v>
      </c>
      <c r="C22" s="27">
        <v>0</v>
      </c>
      <c r="D22" s="26">
        <v>0</v>
      </c>
      <c r="E22" s="27">
        <v>0</v>
      </c>
      <c r="F22" s="26">
        <v>0</v>
      </c>
      <c r="G22" s="27">
        <v>0</v>
      </c>
      <c r="H22" s="26">
        <v>0</v>
      </c>
      <c r="I22" s="27">
        <v>0</v>
      </c>
      <c r="J22" s="26">
        <v>0</v>
      </c>
      <c r="K22" s="27">
        <v>0</v>
      </c>
      <c r="L22" s="26">
        <v>0</v>
      </c>
      <c r="M22" s="27">
        <v>0</v>
      </c>
      <c r="N22" s="26">
        <v>0</v>
      </c>
      <c r="O22" s="27">
        <v>0</v>
      </c>
      <c r="P22" s="26">
        <v>0</v>
      </c>
      <c r="Q22" s="27">
        <v>0</v>
      </c>
      <c r="R22" s="26">
        <v>0</v>
      </c>
      <c r="S22" s="27">
        <v>0</v>
      </c>
      <c r="T22" s="26">
        <v>0</v>
      </c>
      <c r="U22" s="27">
        <v>0</v>
      </c>
      <c r="V22" s="26">
        <v>0</v>
      </c>
      <c r="W22" s="27">
        <v>0</v>
      </c>
      <c r="X22" s="26">
        <v>0</v>
      </c>
      <c r="Y22" s="27">
        <v>0</v>
      </c>
      <c r="Z22" s="35">
        <f t="shared" si="2"/>
        <v>0</v>
      </c>
      <c r="AA22" s="1"/>
    </row>
    <row r="23" spans="1:27" ht="16.5" x14ac:dyDescent="0.35">
      <c r="A23" s="33" t="s">
        <v>70</v>
      </c>
      <c r="B23" s="26">
        <v>0</v>
      </c>
      <c r="C23" s="27">
        <v>0</v>
      </c>
      <c r="D23" s="26">
        <v>0</v>
      </c>
      <c r="E23" s="27">
        <v>0</v>
      </c>
      <c r="F23" s="26">
        <v>0</v>
      </c>
      <c r="G23" s="27">
        <v>0</v>
      </c>
      <c r="H23" s="26">
        <v>2400</v>
      </c>
      <c r="I23" s="27">
        <v>2400</v>
      </c>
      <c r="J23" s="26">
        <v>0</v>
      </c>
      <c r="K23" s="27">
        <v>1200</v>
      </c>
      <c r="L23" s="26">
        <v>0</v>
      </c>
      <c r="M23" s="27">
        <v>1200</v>
      </c>
      <c r="N23" s="26">
        <v>1200</v>
      </c>
      <c r="O23" s="27">
        <v>1200</v>
      </c>
      <c r="P23" s="26">
        <v>1200</v>
      </c>
      <c r="Q23" s="27">
        <v>1200</v>
      </c>
      <c r="R23" s="26">
        <v>1200</v>
      </c>
      <c r="S23" s="27">
        <v>1200</v>
      </c>
      <c r="T23" s="26">
        <v>1200</v>
      </c>
      <c r="U23" s="27">
        <v>1200</v>
      </c>
      <c r="V23" s="26">
        <v>1200</v>
      </c>
      <c r="W23" s="27">
        <v>1200</v>
      </c>
      <c r="X23" s="26">
        <v>1200</v>
      </c>
      <c r="Y23" s="27">
        <v>0</v>
      </c>
      <c r="Z23" s="35">
        <f t="shared" si="2"/>
        <v>10800</v>
      </c>
      <c r="AA23" s="1"/>
    </row>
    <row r="24" spans="1:27" ht="16.5" x14ac:dyDescent="0.35">
      <c r="A24" s="33" t="s">
        <v>11</v>
      </c>
      <c r="B24" s="26">
        <v>0</v>
      </c>
      <c r="C24" s="27">
        <v>50</v>
      </c>
      <c r="D24" s="26">
        <v>50</v>
      </c>
      <c r="E24" s="27">
        <v>0</v>
      </c>
      <c r="F24" s="26">
        <v>0</v>
      </c>
      <c r="G24" s="27">
        <v>0</v>
      </c>
      <c r="H24" s="26">
        <v>0</v>
      </c>
      <c r="I24" s="27">
        <v>100</v>
      </c>
      <c r="J24" s="26">
        <v>0</v>
      </c>
      <c r="K24" s="27">
        <v>0</v>
      </c>
      <c r="L24" s="26">
        <v>0</v>
      </c>
      <c r="M24" s="27">
        <v>0</v>
      </c>
      <c r="N24" s="26">
        <v>0</v>
      </c>
      <c r="O24" s="27">
        <v>0</v>
      </c>
      <c r="P24" s="26">
        <v>0</v>
      </c>
      <c r="Q24" s="27">
        <v>0</v>
      </c>
      <c r="R24" s="26">
        <v>0</v>
      </c>
      <c r="S24" s="27">
        <v>0</v>
      </c>
      <c r="T24" s="26">
        <v>0</v>
      </c>
      <c r="U24" s="27">
        <v>0</v>
      </c>
      <c r="V24" s="26">
        <v>0</v>
      </c>
      <c r="W24" s="27">
        <v>0</v>
      </c>
      <c r="X24" s="26">
        <v>0</v>
      </c>
      <c r="Y24" s="27">
        <v>0</v>
      </c>
      <c r="Z24" s="35">
        <f t="shared" si="2"/>
        <v>150</v>
      </c>
      <c r="AA24" s="1"/>
    </row>
    <row r="25" spans="1:27" ht="16.5" x14ac:dyDescent="0.35">
      <c r="A25" s="33" t="s">
        <v>12</v>
      </c>
      <c r="B25" s="26">
        <v>0</v>
      </c>
      <c r="C25" s="27">
        <v>50</v>
      </c>
      <c r="D25" s="26">
        <v>0</v>
      </c>
      <c r="E25" s="27">
        <v>50</v>
      </c>
      <c r="F25" s="26">
        <v>50</v>
      </c>
      <c r="G25" s="27">
        <v>50</v>
      </c>
      <c r="H25" s="26">
        <v>0</v>
      </c>
      <c r="I25" s="27">
        <v>50</v>
      </c>
      <c r="J25" s="26">
        <v>0</v>
      </c>
      <c r="K25" s="27">
        <v>50</v>
      </c>
      <c r="L25" s="26">
        <v>0</v>
      </c>
      <c r="M25" s="27">
        <v>50</v>
      </c>
      <c r="N25" s="26">
        <v>50</v>
      </c>
      <c r="O25" s="27">
        <v>50</v>
      </c>
      <c r="P25" s="26">
        <v>50</v>
      </c>
      <c r="Q25" s="27">
        <v>50</v>
      </c>
      <c r="R25" s="26">
        <v>50</v>
      </c>
      <c r="S25" s="27">
        <v>50</v>
      </c>
      <c r="T25" s="26">
        <v>50</v>
      </c>
      <c r="U25" s="27">
        <v>50</v>
      </c>
      <c r="V25" s="26">
        <v>50</v>
      </c>
      <c r="W25" s="27">
        <v>50</v>
      </c>
      <c r="X25" s="26">
        <v>50</v>
      </c>
      <c r="Y25" s="27">
        <v>0</v>
      </c>
      <c r="Z25" s="35">
        <f t="shared" si="2"/>
        <v>550</v>
      </c>
      <c r="AA25" s="1"/>
    </row>
    <row r="26" spans="1:27" ht="16.5" x14ac:dyDescent="0.35">
      <c r="A26" s="33" t="s">
        <v>13</v>
      </c>
      <c r="B26" s="26">
        <v>0</v>
      </c>
      <c r="C26" s="27">
        <v>150</v>
      </c>
      <c r="D26" s="26">
        <v>150</v>
      </c>
      <c r="E26" s="27">
        <v>150</v>
      </c>
      <c r="F26" s="26">
        <v>150</v>
      </c>
      <c r="G26" s="27">
        <v>150</v>
      </c>
      <c r="H26" s="26">
        <v>0</v>
      </c>
      <c r="I26" s="27">
        <v>150</v>
      </c>
      <c r="J26" s="26">
        <v>0</v>
      </c>
      <c r="K26" s="27">
        <v>150</v>
      </c>
      <c r="L26" s="26">
        <v>0</v>
      </c>
      <c r="M26" s="27">
        <v>150</v>
      </c>
      <c r="N26" s="26">
        <v>150</v>
      </c>
      <c r="O26" s="27">
        <v>150</v>
      </c>
      <c r="P26" s="26">
        <v>150</v>
      </c>
      <c r="Q26" s="27">
        <v>150</v>
      </c>
      <c r="R26" s="26">
        <v>150</v>
      </c>
      <c r="S26" s="27">
        <v>150</v>
      </c>
      <c r="T26" s="26">
        <v>150</v>
      </c>
      <c r="U26" s="27">
        <v>150</v>
      </c>
      <c r="V26" s="26">
        <v>150</v>
      </c>
      <c r="W26" s="27">
        <v>150</v>
      </c>
      <c r="X26" s="26">
        <v>150</v>
      </c>
      <c r="Y26" s="27">
        <v>0</v>
      </c>
      <c r="Z26" s="35">
        <f t="shared" si="2"/>
        <v>1650</v>
      </c>
      <c r="AA26" s="1"/>
    </row>
    <row r="27" spans="1:27" ht="16.5" x14ac:dyDescent="0.35">
      <c r="A27" s="33" t="s">
        <v>65</v>
      </c>
      <c r="B27" s="26">
        <v>0</v>
      </c>
      <c r="C27" s="27">
        <v>150</v>
      </c>
      <c r="D27" s="26">
        <v>150</v>
      </c>
      <c r="E27" s="27">
        <v>250</v>
      </c>
      <c r="F27" s="26">
        <v>150</v>
      </c>
      <c r="G27" s="27">
        <v>250</v>
      </c>
      <c r="H27" s="26">
        <v>150</v>
      </c>
      <c r="I27" s="27">
        <v>300</v>
      </c>
      <c r="J27" s="26">
        <v>0</v>
      </c>
      <c r="K27" s="27">
        <v>100</v>
      </c>
      <c r="L27" s="26">
        <v>0</v>
      </c>
      <c r="M27" s="27">
        <v>100</v>
      </c>
      <c r="N27" s="26">
        <v>100</v>
      </c>
      <c r="O27" s="27">
        <v>100</v>
      </c>
      <c r="P27" s="26">
        <v>0</v>
      </c>
      <c r="Q27" s="27">
        <v>100</v>
      </c>
      <c r="R27" s="26">
        <v>0</v>
      </c>
      <c r="S27" s="27">
        <v>150</v>
      </c>
      <c r="T27" s="26">
        <v>0</v>
      </c>
      <c r="U27" s="27">
        <v>100</v>
      </c>
      <c r="V27" s="26">
        <v>0</v>
      </c>
      <c r="W27" s="27">
        <v>100</v>
      </c>
      <c r="X27" s="26">
        <v>0</v>
      </c>
      <c r="Y27" s="27">
        <v>0</v>
      </c>
      <c r="Z27" s="35">
        <f t="shared" si="2"/>
        <v>1700</v>
      </c>
      <c r="AA27" s="1"/>
    </row>
    <row r="28" spans="1:27" ht="16.5" x14ac:dyDescent="0.35">
      <c r="A28" s="33" t="s">
        <v>76</v>
      </c>
      <c r="B28" s="26">
        <v>0</v>
      </c>
      <c r="C28" s="27">
        <v>0</v>
      </c>
      <c r="D28" s="26">
        <v>0</v>
      </c>
      <c r="E28" s="27">
        <v>0</v>
      </c>
      <c r="F28" s="26">
        <v>0</v>
      </c>
      <c r="G28" s="27">
        <v>0</v>
      </c>
      <c r="H28" s="26">
        <v>0</v>
      </c>
      <c r="I28" s="27">
        <v>0</v>
      </c>
      <c r="J28" s="26">
        <v>0</v>
      </c>
      <c r="K28" s="27">
        <v>0</v>
      </c>
      <c r="L28" s="26">
        <v>0</v>
      </c>
      <c r="M28" s="27">
        <v>0</v>
      </c>
      <c r="N28" s="26">
        <v>0</v>
      </c>
      <c r="O28" s="27">
        <v>0</v>
      </c>
      <c r="P28" s="26">
        <v>0</v>
      </c>
      <c r="Q28" s="27">
        <v>0</v>
      </c>
      <c r="R28" s="26">
        <v>0</v>
      </c>
      <c r="S28" s="27">
        <v>0</v>
      </c>
      <c r="T28" s="26">
        <v>0</v>
      </c>
      <c r="U28" s="27">
        <v>0</v>
      </c>
      <c r="V28" s="26">
        <v>0</v>
      </c>
      <c r="W28" s="27">
        <v>0</v>
      </c>
      <c r="X28" s="26">
        <v>0</v>
      </c>
      <c r="Y28" s="27">
        <v>0</v>
      </c>
      <c r="Z28" s="35">
        <f t="shared" si="2"/>
        <v>0</v>
      </c>
      <c r="AA28" s="1"/>
    </row>
    <row r="29" spans="1:27" ht="16.5" x14ac:dyDescent="0.35">
      <c r="A29" s="33" t="s">
        <v>77</v>
      </c>
      <c r="B29" s="26">
        <v>0</v>
      </c>
      <c r="C29" s="27">
        <v>0</v>
      </c>
      <c r="D29" s="26">
        <v>0</v>
      </c>
      <c r="E29" s="27">
        <v>0</v>
      </c>
      <c r="F29" s="26">
        <v>0</v>
      </c>
      <c r="G29" s="27">
        <v>0</v>
      </c>
      <c r="H29" s="26">
        <v>0</v>
      </c>
      <c r="I29" s="27">
        <v>175</v>
      </c>
      <c r="J29" s="26">
        <v>0</v>
      </c>
      <c r="K29" s="27">
        <v>0</v>
      </c>
      <c r="L29" s="26">
        <v>0</v>
      </c>
      <c r="M29" s="27">
        <v>0</v>
      </c>
      <c r="N29" s="26">
        <v>0</v>
      </c>
      <c r="O29" s="27">
        <v>0</v>
      </c>
      <c r="P29" s="26">
        <v>0</v>
      </c>
      <c r="Q29" s="27">
        <v>0</v>
      </c>
      <c r="R29" s="26">
        <v>0</v>
      </c>
      <c r="S29" s="27">
        <v>0</v>
      </c>
      <c r="T29" s="26">
        <v>0</v>
      </c>
      <c r="U29" s="27">
        <v>0</v>
      </c>
      <c r="V29" s="26">
        <v>0</v>
      </c>
      <c r="W29" s="27">
        <v>0</v>
      </c>
      <c r="X29" s="26">
        <v>0</v>
      </c>
      <c r="Y29" s="27">
        <v>0</v>
      </c>
      <c r="Z29" s="35">
        <f t="shared" si="2"/>
        <v>175</v>
      </c>
      <c r="AA29" s="1"/>
    </row>
    <row r="30" spans="1:27" ht="16.5" x14ac:dyDescent="0.35">
      <c r="A30" s="33" t="s">
        <v>14</v>
      </c>
      <c r="B30" s="26">
        <v>0</v>
      </c>
      <c r="C30" s="27">
        <v>100</v>
      </c>
      <c r="D30" s="26">
        <v>100</v>
      </c>
      <c r="E30" s="27">
        <v>100</v>
      </c>
      <c r="F30" s="26">
        <v>100</v>
      </c>
      <c r="G30" s="27">
        <v>100</v>
      </c>
      <c r="H30" s="26">
        <v>0</v>
      </c>
      <c r="I30" s="27">
        <v>100</v>
      </c>
      <c r="J30" s="26">
        <v>0</v>
      </c>
      <c r="K30" s="27">
        <v>100</v>
      </c>
      <c r="L30" s="26">
        <v>0</v>
      </c>
      <c r="M30" s="27">
        <v>100</v>
      </c>
      <c r="N30" s="26">
        <v>100</v>
      </c>
      <c r="O30" s="27">
        <v>100</v>
      </c>
      <c r="P30" s="26">
        <v>100</v>
      </c>
      <c r="Q30" s="27">
        <v>100</v>
      </c>
      <c r="R30" s="26">
        <v>100</v>
      </c>
      <c r="S30" s="27">
        <v>100</v>
      </c>
      <c r="T30" s="26">
        <v>100</v>
      </c>
      <c r="U30" s="27">
        <v>100</v>
      </c>
      <c r="V30" s="26">
        <v>100</v>
      </c>
      <c r="W30" s="27">
        <v>100</v>
      </c>
      <c r="X30" s="26">
        <v>100</v>
      </c>
      <c r="Y30" s="27">
        <v>0</v>
      </c>
      <c r="Z30" s="35">
        <f t="shared" si="2"/>
        <v>1100</v>
      </c>
      <c r="AA30" s="1"/>
    </row>
    <row r="31" spans="1:27" ht="17.5" x14ac:dyDescent="0.35">
      <c r="A31" s="15" t="s">
        <v>15</v>
      </c>
      <c r="B31" s="24">
        <f t="shared" ref="B31:Y31" si="16">SUM(B32:B36)</f>
        <v>0</v>
      </c>
      <c r="C31" s="25">
        <f t="shared" si="16"/>
        <v>3540</v>
      </c>
      <c r="D31" s="24">
        <f t="shared" si="16"/>
        <v>3540</v>
      </c>
      <c r="E31" s="25">
        <f t="shared" si="16"/>
        <v>3540</v>
      </c>
      <c r="F31" s="24">
        <f t="shared" si="16"/>
        <v>3540</v>
      </c>
      <c r="G31" s="25">
        <f t="shared" si="16"/>
        <v>3540</v>
      </c>
      <c r="H31" s="24">
        <f t="shared" si="16"/>
        <v>0</v>
      </c>
      <c r="I31" s="25">
        <f t="shared" si="16"/>
        <v>6200</v>
      </c>
      <c r="J31" s="24">
        <f t="shared" si="16"/>
        <v>0</v>
      </c>
      <c r="K31" s="25">
        <f t="shared" si="16"/>
        <v>6200</v>
      </c>
      <c r="L31" s="24">
        <f t="shared" si="16"/>
        <v>0</v>
      </c>
      <c r="M31" s="25">
        <f t="shared" si="16"/>
        <v>6200</v>
      </c>
      <c r="N31" s="24">
        <f t="shared" si="16"/>
        <v>6200</v>
      </c>
      <c r="O31" s="25">
        <f t="shared" si="16"/>
        <v>6200</v>
      </c>
      <c r="P31" s="24">
        <f t="shared" si="16"/>
        <v>2700</v>
      </c>
      <c r="Q31" s="25">
        <f t="shared" si="16"/>
        <v>6200</v>
      </c>
      <c r="R31" s="24">
        <f t="shared" si="16"/>
        <v>2700</v>
      </c>
      <c r="S31" s="25">
        <f t="shared" si="16"/>
        <v>9140</v>
      </c>
      <c r="T31" s="24">
        <f t="shared" si="16"/>
        <v>2700</v>
      </c>
      <c r="U31" s="25">
        <f t="shared" si="16"/>
        <v>9140</v>
      </c>
      <c r="V31" s="24">
        <f t="shared" si="16"/>
        <v>2700</v>
      </c>
      <c r="W31" s="25">
        <f t="shared" si="16"/>
        <v>9140</v>
      </c>
      <c r="X31" s="24">
        <f t="shared" si="16"/>
        <v>2700</v>
      </c>
      <c r="Y31" s="25">
        <f t="shared" si="16"/>
        <v>0</v>
      </c>
      <c r="Z31" s="35">
        <f t="shared" si="2"/>
        <v>69040</v>
      </c>
      <c r="AA31" s="1"/>
    </row>
    <row r="32" spans="1:27" ht="16.5" x14ac:dyDescent="0.35">
      <c r="A32" s="33" t="s">
        <v>16</v>
      </c>
      <c r="B32" s="26">
        <v>0</v>
      </c>
      <c r="C32" s="27">
        <v>2000</v>
      </c>
      <c r="D32" s="26">
        <v>2000</v>
      </c>
      <c r="E32" s="27">
        <v>2000</v>
      </c>
      <c r="F32" s="26">
        <v>2000</v>
      </c>
      <c r="G32" s="27">
        <v>2000</v>
      </c>
      <c r="H32" s="26">
        <v>0</v>
      </c>
      <c r="I32" s="27">
        <v>2000</v>
      </c>
      <c r="J32" s="26">
        <v>0</v>
      </c>
      <c r="K32" s="27">
        <v>2000</v>
      </c>
      <c r="L32" s="26">
        <v>0</v>
      </c>
      <c r="M32" s="27">
        <v>2000</v>
      </c>
      <c r="N32" s="26">
        <v>2000</v>
      </c>
      <c r="O32" s="27">
        <v>2000</v>
      </c>
      <c r="P32" s="26">
        <v>2000</v>
      </c>
      <c r="Q32" s="27">
        <v>2000</v>
      </c>
      <c r="R32" s="26">
        <v>2000</v>
      </c>
      <c r="S32" s="27">
        <v>2000</v>
      </c>
      <c r="T32" s="26">
        <v>2000</v>
      </c>
      <c r="U32" s="27">
        <v>2000</v>
      </c>
      <c r="V32" s="26">
        <v>2000</v>
      </c>
      <c r="W32" s="27">
        <v>2000</v>
      </c>
      <c r="X32" s="26">
        <v>2000</v>
      </c>
      <c r="Y32" s="27">
        <v>0</v>
      </c>
      <c r="Z32" s="35">
        <f t="shared" si="2"/>
        <v>22000</v>
      </c>
      <c r="AA32" s="1"/>
    </row>
    <row r="33" spans="1:27" ht="16.5" x14ac:dyDescent="0.35">
      <c r="A33" s="33" t="s">
        <v>17</v>
      </c>
      <c r="B33" s="26">
        <v>0</v>
      </c>
      <c r="C33" s="27">
        <v>700</v>
      </c>
      <c r="D33" s="26">
        <v>700</v>
      </c>
      <c r="E33" s="27">
        <v>700</v>
      </c>
      <c r="F33" s="26">
        <v>700</v>
      </c>
      <c r="G33" s="27">
        <v>700</v>
      </c>
      <c r="H33" s="26">
        <v>0</v>
      </c>
      <c r="I33" s="27">
        <v>700</v>
      </c>
      <c r="J33" s="26">
        <v>0</v>
      </c>
      <c r="K33" s="27">
        <v>700</v>
      </c>
      <c r="L33" s="26">
        <v>0</v>
      </c>
      <c r="M33" s="27">
        <v>700</v>
      </c>
      <c r="N33" s="26">
        <v>700</v>
      </c>
      <c r="O33" s="27">
        <v>700</v>
      </c>
      <c r="P33" s="26">
        <v>700</v>
      </c>
      <c r="Q33" s="27">
        <v>700</v>
      </c>
      <c r="R33" s="26">
        <v>700</v>
      </c>
      <c r="S33" s="27">
        <v>700</v>
      </c>
      <c r="T33" s="26">
        <v>700</v>
      </c>
      <c r="U33" s="27">
        <v>700</v>
      </c>
      <c r="V33" s="26">
        <v>700</v>
      </c>
      <c r="W33" s="27">
        <v>700</v>
      </c>
      <c r="X33" s="26">
        <v>700</v>
      </c>
      <c r="Y33" s="27">
        <v>0</v>
      </c>
      <c r="Z33" s="35">
        <f t="shared" si="2"/>
        <v>7700</v>
      </c>
      <c r="AA33" s="1"/>
    </row>
    <row r="34" spans="1:27" ht="16.5" x14ac:dyDescent="0.35">
      <c r="A34" s="33" t="s">
        <v>18</v>
      </c>
      <c r="B34" s="26">
        <v>0</v>
      </c>
      <c r="C34" s="27">
        <v>462</v>
      </c>
      <c r="D34" s="26">
        <v>462</v>
      </c>
      <c r="E34" s="27">
        <v>462</v>
      </c>
      <c r="F34" s="26">
        <v>462</v>
      </c>
      <c r="G34" s="27">
        <v>462</v>
      </c>
      <c r="H34" s="26">
        <v>0</v>
      </c>
      <c r="I34" s="27">
        <v>1925</v>
      </c>
      <c r="J34" s="26">
        <v>0</v>
      </c>
      <c r="K34" s="27">
        <v>1925</v>
      </c>
      <c r="L34" s="26">
        <v>0</v>
      </c>
      <c r="M34" s="27">
        <v>1925</v>
      </c>
      <c r="N34" s="26">
        <v>1925</v>
      </c>
      <c r="O34" s="27">
        <v>1925</v>
      </c>
      <c r="P34" s="26">
        <v>0</v>
      </c>
      <c r="Q34" s="27">
        <v>1925</v>
      </c>
      <c r="R34" s="26">
        <v>0</v>
      </c>
      <c r="S34" s="27">
        <v>3542</v>
      </c>
      <c r="T34" s="26">
        <v>0</v>
      </c>
      <c r="U34" s="27">
        <v>3542</v>
      </c>
      <c r="V34" s="26">
        <v>0</v>
      </c>
      <c r="W34" s="27">
        <v>3542</v>
      </c>
      <c r="X34" s="26">
        <v>0</v>
      </c>
      <c r="Y34" s="27">
        <v>0</v>
      </c>
      <c r="Z34" s="35">
        <f t="shared" si="2"/>
        <v>21637</v>
      </c>
      <c r="AA34" s="1"/>
    </row>
    <row r="35" spans="1:27" ht="16.5" x14ac:dyDescent="0.35">
      <c r="A35" s="33" t="s">
        <v>19</v>
      </c>
      <c r="B35" s="26">
        <v>0</v>
      </c>
      <c r="C35" s="27">
        <v>138</v>
      </c>
      <c r="D35" s="26">
        <v>138</v>
      </c>
      <c r="E35" s="27">
        <v>138</v>
      </c>
      <c r="F35" s="26">
        <v>138</v>
      </c>
      <c r="G35" s="27">
        <v>138</v>
      </c>
      <c r="H35" s="26">
        <v>0</v>
      </c>
      <c r="I35" s="27">
        <v>575</v>
      </c>
      <c r="J35" s="26">
        <v>0</v>
      </c>
      <c r="K35" s="27">
        <v>575</v>
      </c>
      <c r="L35" s="26">
        <v>0</v>
      </c>
      <c r="M35" s="27">
        <v>575</v>
      </c>
      <c r="N35" s="26">
        <v>575</v>
      </c>
      <c r="O35" s="27">
        <v>575</v>
      </c>
      <c r="P35" s="26">
        <v>0</v>
      </c>
      <c r="Q35" s="27">
        <v>575</v>
      </c>
      <c r="R35" s="26">
        <v>0</v>
      </c>
      <c r="S35" s="27">
        <v>1058</v>
      </c>
      <c r="T35" s="26">
        <v>0</v>
      </c>
      <c r="U35" s="27">
        <v>1058</v>
      </c>
      <c r="V35" s="26">
        <v>0</v>
      </c>
      <c r="W35" s="27">
        <v>1058</v>
      </c>
      <c r="X35" s="26">
        <v>0</v>
      </c>
      <c r="Y35" s="27">
        <v>0</v>
      </c>
      <c r="Z35" s="35">
        <f t="shared" si="2"/>
        <v>6463</v>
      </c>
      <c r="AA35" s="1"/>
    </row>
    <row r="36" spans="1:27" ht="16.5" x14ac:dyDescent="0.35">
      <c r="A36" s="33" t="s">
        <v>20</v>
      </c>
      <c r="B36" s="26">
        <v>0</v>
      </c>
      <c r="C36" s="27">
        <v>240</v>
      </c>
      <c r="D36" s="26">
        <v>240</v>
      </c>
      <c r="E36" s="27">
        <v>240</v>
      </c>
      <c r="F36" s="26">
        <v>240</v>
      </c>
      <c r="G36" s="27">
        <v>240</v>
      </c>
      <c r="H36" s="26">
        <v>0</v>
      </c>
      <c r="I36" s="27">
        <v>1000</v>
      </c>
      <c r="J36" s="26">
        <v>0</v>
      </c>
      <c r="K36" s="27">
        <v>1000</v>
      </c>
      <c r="L36" s="26">
        <v>0</v>
      </c>
      <c r="M36" s="27">
        <v>1000</v>
      </c>
      <c r="N36" s="26">
        <v>1000</v>
      </c>
      <c r="O36" s="27">
        <v>1000</v>
      </c>
      <c r="P36" s="26">
        <v>0</v>
      </c>
      <c r="Q36" s="27">
        <v>1000</v>
      </c>
      <c r="R36" s="26">
        <v>0</v>
      </c>
      <c r="S36" s="27">
        <v>1840</v>
      </c>
      <c r="T36" s="26">
        <v>0</v>
      </c>
      <c r="U36" s="27">
        <v>1840</v>
      </c>
      <c r="V36" s="26">
        <v>0</v>
      </c>
      <c r="W36" s="27">
        <v>1840</v>
      </c>
      <c r="X36" s="26">
        <v>0</v>
      </c>
      <c r="Y36" s="27">
        <v>0</v>
      </c>
      <c r="Z36" s="35">
        <f t="shared" si="2"/>
        <v>11240</v>
      </c>
      <c r="AA36" s="1"/>
    </row>
    <row r="37" spans="1:27" ht="17.5" x14ac:dyDescent="0.35">
      <c r="A37" s="15" t="s">
        <v>21</v>
      </c>
      <c r="B37" s="26">
        <v>0</v>
      </c>
      <c r="C37" s="27">
        <v>0</v>
      </c>
      <c r="D37" s="26">
        <v>0</v>
      </c>
      <c r="E37" s="27">
        <v>70</v>
      </c>
      <c r="F37" s="26">
        <v>0</v>
      </c>
      <c r="G37" s="27">
        <v>70</v>
      </c>
      <c r="H37" s="26">
        <v>0</v>
      </c>
      <c r="I37" s="27">
        <v>153.33000000000001</v>
      </c>
      <c r="J37" s="26">
        <v>0</v>
      </c>
      <c r="K37" s="27">
        <v>153.33000000000001</v>
      </c>
      <c r="L37" s="26">
        <v>0</v>
      </c>
      <c r="M37" s="27">
        <v>153.33000000000001</v>
      </c>
      <c r="N37" s="26">
        <v>153.33000000000001</v>
      </c>
      <c r="O37" s="27">
        <v>153.33000000000001</v>
      </c>
      <c r="P37" s="26">
        <v>0</v>
      </c>
      <c r="Q37" s="27">
        <v>153.33000000000001</v>
      </c>
      <c r="R37" s="26">
        <v>0</v>
      </c>
      <c r="S37" s="27">
        <v>153.33000000000001</v>
      </c>
      <c r="T37" s="26">
        <v>0</v>
      </c>
      <c r="U37" s="27">
        <v>236.67</v>
      </c>
      <c r="V37" s="26">
        <v>0</v>
      </c>
      <c r="W37" s="27">
        <v>236.67</v>
      </c>
      <c r="X37" s="26">
        <v>0</v>
      </c>
      <c r="Y37" s="27">
        <v>0</v>
      </c>
      <c r="Z37" s="35">
        <f t="shared" si="2"/>
        <v>1533.3200000000004</v>
      </c>
      <c r="AA37" s="1"/>
    </row>
    <row r="38" spans="1:27" ht="6" customHeight="1" x14ac:dyDescent="0.35">
      <c r="A38" s="14"/>
      <c r="B38" s="28"/>
      <c r="C38" s="29"/>
      <c r="D38" s="28"/>
      <c r="E38" s="29"/>
      <c r="F38" s="28"/>
      <c r="G38" s="29"/>
      <c r="H38" s="28"/>
      <c r="I38" s="29"/>
      <c r="J38" s="28"/>
      <c r="K38" s="29"/>
      <c r="L38" s="28"/>
      <c r="M38" s="29"/>
      <c r="N38" s="28"/>
      <c r="O38" s="29"/>
      <c r="P38" s="28"/>
      <c r="Q38" s="29"/>
      <c r="R38" s="28"/>
      <c r="S38" s="29"/>
      <c r="T38" s="28"/>
      <c r="U38" s="29"/>
      <c r="V38" s="28"/>
      <c r="W38" s="29"/>
      <c r="X38" s="28"/>
      <c r="Y38" s="29"/>
      <c r="Z38" s="36"/>
      <c r="AA38" s="1"/>
    </row>
    <row r="39" spans="1:27" ht="17.5" x14ac:dyDescent="0.35">
      <c r="A39" s="12" t="s">
        <v>22</v>
      </c>
      <c r="B39" s="30">
        <f t="shared" ref="B39:Y39" si="17">B3-B10</f>
        <v>-900</v>
      </c>
      <c r="C39" s="31">
        <f t="shared" si="17"/>
        <v>-1076</v>
      </c>
      <c r="D39" s="30">
        <f t="shared" si="17"/>
        <v>-256</v>
      </c>
      <c r="E39" s="31">
        <f t="shared" si="17"/>
        <v>-396</v>
      </c>
      <c r="F39" s="30">
        <f t="shared" si="17"/>
        <v>792</v>
      </c>
      <c r="G39" s="31">
        <f t="shared" si="17"/>
        <v>232</v>
      </c>
      <c r="H39" s="30">
        <f t="shared" si="17"/>
        <v>-2550</v>
      </c>
      <c r="I39" s="31">
        <f t="shared" si="17"/>
        <v>-1055.83</v>
      </c>
      <c r="J39" s="30">
        <f t="shared" si="17"/>
        <v>0</v>
      </c>
      <c r="K39" s="31">
        <f t="shared" si="17"/>
        <v>1572.17</v>
      </c>
      <c r="L39" s="30">
        <f t="shared" si="17"/>
        <v>0</v>
      </c>
      <c r="M39" s="31">
        <f t="shared" si="17"/>
        <v>2516.67</v>
      </c>
      <c r="N39" s="30">
        <f t="shared" si="17"/>
        <v>10736.67</v>
      </c>
      <c r="O39" s="31">
        <f t="shared" si="17"/>
        <v>3234.67</v>
      </c>
      <c r="P39" s="30">
        <f t="shared" si="17"/>
        <v>-4200</v>
      </c>
      <c r="Q39" s="31">
        <f t="shared" si="17"/>
        <v>3468.6399999999994</v>
      </c>
      <c r="R39" s="30">
        <f t="shared" si="17"/>
        <v>-4200</v>
      </c>
      <c r="S39" s="31">
        <f t="shared" si="17"/>
        <v>4896.2799999999988</v>
      </c>
      <c r="T39" s="30">
        <f t="shared" si="17"/>
        <v>-4200</v>
      </c>
      <c r="U39" s="31">
        <f t="shared" si="17"/>
        <v>2954.2300000000032</v>
      </c>
      <c r="V39" s="30">
        <f t="shared" si="17"/>
        <v>-4200</v>
      </c>
      <c r="W39" s="31">
        <f t="shared" si="17"/>
        <v>3958.5</v>
      </c>
      <c r="X39" s="30">
        <f t="shared" si="17"/>
        <v>-4200</v>
      </c>
      <c r="Y39" s="31">
        <f t="shared" si="17"/>
        <v>0</v>
      </c>
      <c r="Z39" s="35"/>
      <c r="AA39" s="1"/>
    </row>
    <row r="40" spans="1:27" ht="6" customHeight="1" x14ac:dyDescent="0.35">
      <c r="A40" s="14"/>
      <c r="B40" s="28"/>
      <c r="C40" s="29"/>
      <c r="D40" s="28"/>
      <c r="E40" s="29"/>
      <c r="F40" s="28"/>
      <c r="G40" s="29"/>
      <c r="H40" s="28"/>
      <c r="I40" s="29"/>
      <c r="J40" s="28"/>
      <c r="K40" s="29"/>
      <c r="L40" s="28"/>
      <c r="M40" s="29"/>
      <c r="N40" s="28"/>
      <c r="O40" s="29"/>
      <c r="P40" s="28"/>
      <c r="Q40" s="29"/>
      <c r="R40" s="28"/>
      <c r="S40" s="29"/>
      <c r="T40" s="28"/>
      <c r="U40" s="29"/>
      <c r="V40" s="28"/>
      <c r="W40" s="29"/>
      <c r="X40" s="28"/>
      <c r="Y40" s="29"/>
      <c r="Z40" s="36"/>
      <c r="AA40" s="1"/>
    </row>
    <row r="41" spans="1:27" ht="17.5" x14ac:dyDescent="0.35">
      <c r="A41" s="15" t="s">
        <v>23</v>
      </c>
      <c r="B41" s="26">
        <v>0</v>
      </c>
      <c r="C41" s="27">
        <v>0</v>
      </c>
      <c r="D41" s="26">
        <v>0</v>
      </c>
      <c r="E41" s="27">
        <v>0</v>
      </c>
      <c r="F41" s="26">
        <v>0</v>
      </c>
      <c r="G41" s="27">
        <v>0</v>
      </c>
      <c r="H41" s="26">
        <v>0</v>
      </c>
      <c r="I41" s="27">
        <v>0</v>
      </c>
      <c r="J41" s="26">
        <v>0</v>
      </c>
      <c r="K41" s="27">
        <v>0</v>
      </c>
      <c r="L41" s="26">
        <v>0</v>
      </c>
      <c r="M41" s="27">
        <v>0</v>
      </c>
      <c r="N41" s="26">
        <v>0</v>
      </c>
      <c r="O41" s="27">
        <v>0</v>
      </c>
      <c r="P41" s="26">
        <v>0</v>
      </c>
      <c r="Q41" s="27">
        <v>0</v>
      </c>
      <c r="R41" s="26">
        <v>0</v>
      </c>
      <c r="S41" s="27">
        <v>0</v>
      </c>
      <c r="T41" s="26">
        <v>0</v>
      </c>
      <c r="U41" s="27">
        <v>0</v>
      </c>
      <c r="V41" s="26">
        <v>0</v>
      </c>
      <c r="W41" s="27">
        <v>0</v>
      </c>
      <c r="X41" s="26">
        <v>0</v>
      </c>
      <c r="Y41" s="27">
        <v>0</v>
      </c>
      <c r="Z41" s="35">
        <f t="shared" ref="Z41:Z46" si="18">C41+E41+G41+I41+K41+M41+O41+Q41+S41+U41+W41+Y41</f>
        <v>0</v>
      </c>
      <c r="AA41" s="1"/>
    </row>
    <row r="42" spans="1:27" ht="17.5" x14ac:dyDescent="0.35">
      <c r="A42" s="15" t="s">
        <v>24</v>
      </c>
      <c r="B42" s="24">
        <f t="shared" ref="B42:C42" si="19">B43+B44</f>
        <v>0</v>
      </c>
      <c r="C42" s="25">
        <f t="shared" si="19"/>
        <v>0</v>
      </c>
      <c r="D42" s="24">
        <f t="shared" ref="D42:E42" si="20">D43+D44</f>
        <v>0</v>
      </c>
      <c r="E42" s="25">
        <f t="shared" si="20"/>
        <v>0</v>
      </c>
      <c r="F42" s="24">
        <f t="shared" ref="F42:I42" si="21">F43+F44</f>
        <v>0</v>
      </c>
      <c r="G42" s="25">
        <f t="shared" si="21"/>
        <v>0</v>
      </c>
      <c r="H42" s="24">
        <f t="shared" si="21"/>
        <v>7.08</v>
      </c>
      <c r="I42" s="25">
        <f t="shared" si="21"/>
        <v>7.08</v>
      </c>
      <c r="J42" s="24">
        <f t="shared" ref="J42:K42" si="22">J43+J44</f>
        <v>6.94</v>
      </c>
      <c r="K42" s="25">
        <f t="shared" si="22"/>
        <v>6.94</v>
      </c>
      <c r="L42" s="24">
        <f t="shared" ref="L42:M42" si="23">L43+L44</f>
        <v>0</v>
      </c>
      <c r="M42" s="25">
        <f t="shared" si="23"/>
        <v>6.8</v>
      </c>
      <c r="N42" s="24">
        <f t="shared" ref="N42:O42" si="24">N43+N44</f>
        <v>6.8</v>
      </c>
      <c r="O42" s="25">
        <f t="shared" si="24"/>
        <v>6.65</v>
      </c>
      <c r="P42" s="24">
        <f t="shared" ref="P42:Q42" si="25">P43+P44</f>
        <v>0</v>
      </c>
      <c r="Q42" s="25">
        <f t="shared" si="25"/>
        <v>6.51</v>
      </c>
      <c r="R42" s="24">
        <f t="shared" ref="R42:S42" si="26">R43+R44</f>
        <v>0</v>
      </c>
      <c r="S42" s="25">
        <f t="shared" si="26"/>
        <v>6.37</v>
      </c>
      <c r="T42" s="24">
        <f t="shared" ref="T42:U42" si="27">T43+T44</f>
        <v>0</v>
      </c>
      <c r="U42" s="25">
        <f t="shared" si="27"/>
        <v>6.22</v>
      </c>
      <c r="V42" s="24">
        <f t="shared" ref="V42:Y42" si="28">V43+V44</f>
        <v>0</v>
      </c>
      <c r="W42" s="25">
        <f t="shared" si="28"/>
        <v>6.08</v>
      </c>
      <c r="X42" s="24">
        <f t="shared" si="28"/>
        <v>0</v>
      </c>
      <c r="Y42" s="25">
        <f t="shared" si="28"/>
        <v>0</v>
      </c>
      <c r="Z42" s="35">
        <f t="shared" si="18"/>
        <v>52.649999999999991</v>
      </c>
      <c r="AA42" s="1"/>
    </row>
    <row r="43" spans="1:27" ht="16.5" x14ac:dyDescent="0.35">
      <c r="A43" s="33" t="s">
        <v>25</v>
      </c>
      <c r="B43" s="26">
        <v>0</v>
      </c>
      <c r="C43" s="27">
        <v>0</v>
      </c>
      <c r="D43" s="26">
        <v>0</v>
      </c>
      <c r="E43" s="27">
        <v>0</v>
      </c>
      <c r="F43" s="26">
        <v>0</v>
      </c>
      <c r="G43" s="27">
        <v>0</v>
      </c>
      <c r="H43" s="26">
        <v>7.08</v>
      </c>
      <c r="I43" s="27">
        <v>7.08</v>
      </c>
      <c r="J43" s="26">
        <v>6.94</v>
      </c>
      <c r="K43" s="27">
        <v>6.94</v>
      </c>
      <c r="L43" s="26">
        <v>0</v>
      </c>
      <c r="M43" s="27">
        <v>6.8</v>
      </c>
      <c r="N43" s="26">
        <v>6.8</v>
      </c>
      <c r="O43" s="27">
        <v>6.65</v>
      </c>
      <c r="P43" s="26">
        <v>0</v>
      </c>
      <c r="Q43" s="27">
        <v>6.51</v>
      </c>
      <c r="R43" s="26">
        <v>0</v>
      </c>
      <c r="S43" s="27">
        <v>6.37</v>
      </c>
      <c r="T43" s="26">
        <v>0</v>
      </c>
      <c r="U43" s="27">
        <v>6.22</v>
      </c>
      <c r="V43" s="26">
        <v>0</v>
      </c>
      <c r="W43" s="27">
        <v>6.08</v>
      </c>
      <c r="X43" s="26">
        <v>0</v>
      </c>
      <c r="Y43" s="27">
        <v>0</v>
      </c>
      <c r="Z43" s="35">
        <f t="shared" si="18"/>
        <v>52.649999999999991</v>
      </c>
      <c r="AA43" s="1"/>
    </row>
    <row r="44" spans="1:27" ht="16.5" x14ac:dyDescent="0.35">
      <c r="A44" s="33" t="s">
        <v>26</v>
      </c>
      <c r="B44" s="26">
        <v>0</v>
      </c>
      <c r="C44" s="27">
        <v>0</v>
      </c>
      <c r="D44" s="26">
        <v>0</v>
      </c>
      <c r="E44" s="27">
        <v>0</v>
      </c>
      <c r="F44" s="26">
        <v>0</v>
      </c>
      <c r="G44" s="27">
        <v>0</v>
      </c>
      <c r="H44" s="26">
        <v>0</v>
      </c>
      <c r="I44" s="27">
        <v>0</v>
      </c>
      <c r="J44" s="26">
        <v>0</v>
      </c>
      <c r="K44" s="27">
        <v>0</v>
      </c>
      <c r="L44" s="26">
        <v>0</v>
      </c>
      <c r="M44" s="27">
        <v>0</v>
      </c>
      <c r="N44" s="26">
        <v>0</v>
      </c>
      <c r="O44" s="27">
        <v>0</v>
      </c>
      <c r="P44" s="26">
        <v>0</v>
      </c>
      <c r="Q44" s="27">
        <v>0</v>
      </c>
      <c r="R44" s="26">
        <v>0</v>
      </c>
      <c r="S44" s="27">
        <v>0</v>
      </c>
      <c r="T44" s="26">
        <v>0</v>
      </c>
      <c r="U44" s="27">
        <v>0</v>
      </c>
      <c r="V44" s="26">
        <v>0</v>
      </c>
      <c r="W44" s="27">
        <v>0</v>
      </c>
      <c r="X44" s="26">
        <v>0</v>
      </c>
      <c r="Y44" s="27">
        <v>0</v>
      </c>
      <c r="Z44" s="35">
        <f t="shared" si="18"/>
        <v>0</v>
      </c>
      <c r="AA44" s="1"/>
    </row>
    <row r="45" spans="1:27" ht="6" customHeight="1" x14ac:dyDescent="0.35">
      <c r="A45" s="14"/>
      <c r="B45" s="28"/>
      <c r="C45" s="29"/>
      <c r="D45" s="28"/>
      <c r="E45" s="29"/>
      <c r="F45" s="28"/>
      <c r="G45" s="29"/>
      <c r="H45" s="28"/>
      <c r="I45" s="29"/>
      <c r="J45" s="28"/>
      <c r="K45" s="29"/>
      <c r="L45" s="28"/>
      <c r="M45" s="29"/>
      <c r="N45" s="28"/>
      <c r="O45" s="29"/>
      <c r="P45" s="28"/>
      <c r="Q45" s="29"/>
      <c r="R45" s="28"/>
      <c r="S45" s="29"/>
      <c r="T45" s="28"/>
      <c r="U45" s="29"/>
      <c r="V45" s="28"/>
      <c r="W45" s="29"/>
      <c r="X45" s="28"/>
      <c r="Y45" s="29"/>
      <c r="Z45" s="36"/>
      <c r="AA45" s="1"/>
    </row>
    <row r="46" spans="1:27" ht="17.5" x14ac:dyDescent="0.35">
      <c r="A46" s="12" t="s">
        <v>27</v>
      </c>
      <c r="B46" s="24">
        <f t="shared" ref="B46:Y46" si="29">B41-B42</f>
        <v>0</v>
      </c>
      <c r="C46" s="25">
        <f t="shared" si="29"/>
        <v>0</v>
      </c>
      <c r="D46" s="24">
        <f t="shared" si="29"/>
        <v>0</v>
      </c>
      <c r="E46" s="25">
        <f t="shared" si="29"/>
        <v>0</v>
      </c>
      <c r="F46" s="24">
        <f t="shared" si="29"/>
        <v>0</v>
      </c>
      <c r="G46" s="25">
        <f t="shared" si="29"/>
        <v>0</v>
      </c>
      <c r="H46" s="24">
        <f t="shared" si="29"/>
        <v>-7.08</v>
      </c>
      <c r="I46" s="25">
        <f t="shared" si="29"/>
        <v>-7.08</v>
      </c>
      <c r="J46" s="24">
        <f t="shared" si="29"/>
        <v>-6.94</v>
      </c>
      <c r="K46" s="25">
        <f t="shared" si="29"/>
        <v>-6.94</v>
      </c>
      <c r="L46" s="24">
        <f t="shared" si="29"/>
        <v>0</v>
      </c>
      <c r="M46" s="25">
        <f t="shared" si="29"/>
        <v>-6.8</v>
      </c>
      <c r="N46" s="24">
        <f t="shared" si="29"/>
        <v>-6.8</v>
      </c>
      <c r="O46" s="25">
        <f t="shared" si="29"/>
        <v>-6.65</v>
      </c>
      <c r="P46" s="24">
        <f t="shared" si="29"/>
        <v>0</v>
      </c>
      <c r="Q46" s="25">
        <f t="shared" si="29"/>
        <v>-6.51</v>
      </c>
      <c r="R46" s="24">
        <f t="shared" si="29"/>
        <v>0</v>
      </c>
      <c r="S46" s="25">
        <f t="shared" si="29"/>
        <v>-6.37</v>
      </c>
      <c r="T46" s="24">
        <f t="shared" si="29"/>
        <v>0</v>
      </c>
      <c r="U46" s="25">
        <f t="shared" si="29"/>
        <v>-6.22</v>
      </c>
      <c r="V46" s="24">
        <f t="shared" si="29"/>
        <v>0</v>
      </c>
      <c r="W46" s="25">
        <f t="shared" si="29"/>
        <v>-6.08</v>
      </c>
      <c r="X46" s="24">
        <f t="shared" si="29"/>
        <v>0</v>
      </c>
      <c r="Y46" s="25">
        <f t="shared" si="29"/>
        <v>0</v>
      </c>
      <c r="Z46" s="35">
        <f t="shared" si="18"/>
        <v>-52.649999999999991</v>
      </c>
      <c r="AA46" s="1"/>
    </row>
    <row r="47" spans="1:27" ht="6" customHeight="1" x14ac:dyDescent="0.35">
      <c r="A47" s="14"/>
      <c r="B47" s="28"/>
      <c r="C47" s="29"/>
      <c r="D47" s="28"/>
      <c r="E47" s="29"/>
      <c r="F47" s="28"/>
      <c r="G47" s="29"/>
      <c r="H47" s="28"/>
      <c r="I47" s="29"/>
      <c r="J47" s="28"/>
      <c r="K47" s="29"/>
      <c r="L47" s="28"/>
      <c r="M47" s="29"/>
      <c r="N47" s="28"/>
      <c r="O47" s="29"/>
      <c r="P47" s="28"/>
      <c r="Q47" s="29"/>
      <c r="R47" s="28"/>
      <c r="S47" s="29"/>
      <c r="T47" s="28"/>
      <c r="U47" s="29"/>
      <c r="V47" s="28"/>
      <c r="W47" s="29"/>
      <c r="X47" s="28"/>
      <c r="Y47" s="29"/>
      <c r="Z47" s="36"/>
      <c r="AA47" s="1"/>
    </row>
    <row r="48" spans="1:27" ht="17.5" x14ac:dyDescent="0.35">
      <c r="A48" s="15" t="s">
        <v>28</v>
      </c>
      <c r="B48" s="26">
        <v>0</v>
      </c>
      <c r="C48" s="27">
        <v>0</v>
      </c>
      <c r="D48" s="26">
        <v>0</v>
      </c>
      <c r="E48" s="27">
        <v>0</v>
      </c>
      <c r="F48" s="26">
        <v>0</v>
      </c>
      <c r="G48" s="27">
        <v>0</v>
      </c>
      <c r="H48" s="26">
        <v>0</v>
      </c>
      <c r="I48" s="27">
        <v>0</v>
      </c>
      <c r="J48" s="26">
        <v>0</v>
      </c>
      <c r="K48" s="27">
        <v>0</v>
      </c>
      <c r="L48" s="26">
        <v>0</v>
      </c>
      <c r="M48" s="27">
        <v>0</v>
      </c>
      <c r="N48" s="26">
        <v>0</v>
      </c>
      <c r="O48" s="27">
        <v>0</v>
      </c>
      <c r="P48" s="26">
        <v>0</v>
      </c>
      <c r="Q48" s="27">
        <v>0</v>
      </c>
      <c r="R48" s="26">
        <v>0</v>
      </c>
      <c r="S48" s="27">
        <v>0</v>
      </c>
      <c r="T48" s="26">
        <v>0</v>
      </c>
      <c r="U48" s="27">
        <v>0</v>
      </c>
      <c r="V48" s="26">
        <v>0</v>
      </c>
      <c r="W48" s="27">
        <v>0</v>
      </c>
      <c r="X48" s="26">
        <v>0</v>
      </c>
      <c r="Y48" s="27">
        <v>0</v>
      </c>
      <c r="Z48" s="35">
        <f t="shared" ref="Z48:Z49" si="30">C48+E48+G48+I48+K48+M48+O48+Q48+S48+U48+W48+Y48</f>
        <v>0</v>
      </c>
      <c r="AA48" s="1"/>
    </row>
    <row r="49" spans="1:27" ht="17.5" x14ac:dyDescent="0.35">
      <c r="A49" s="15" t="s">
        <v>29</v>
      </c>
      <c r="B49" s="26">
        <v>0</v>
      </c>
      <c r="C49" s="27">
        <v>0</v>
      </c>
      <c r="D49" s="26">
        <v>0</v>
      </c>
      <c r="E49" s="27">
        <v>0</v>
      </c>
      <c r="F49" s="26">
        <v>0</v>
      </c>
      <c r="G49" s="27">
        <v>0</v>
      </c>
      <c r="H49" s="26">
        <v>0</v>
      </c>
      <c r="I49" s="27">
        <v>0</v>
      </c>
      <c r="J49" s="26">
        <v>0</v>
      </c>
      <c r="K49" s="27">
        <v>0</v>
      </c>
      <c r="L49" s="26">
        <v>0</v>
      </c>
      <c r="M49" s="27">
        <v>0</v>
      </c>
      <c r="N49" s="26">
        <v>0</v>
      </c>
      <c r="O49" s="27">
        <v>0</v>
      </c>
      <c r="P49" s="26">
        <v>0</v>
      </c>
      <c r="Q49" s="27">
        <v>0</v>
      </c>
      <c r="R49" s="26">
        <v>0</v>
      </c>
      <c r="S49" s="27">
        <v>0</v>
      </c>
      <c r="T49" s="26">
        <v>0</v>
      </c>
      <c r="U49" s="27">
        <v>0</v>
      </c>
      <c r="V49" s="26">
        <v>0</v>
      </c>
      <c r="W49" s="27">
        <v>0</v>
      </c>
      <c r="X49" s="26">
        <v>0</v>
      </c>
      <c r="Y49" s="27">
        <v>0</v>
      </c>
      <c r="Z49" s="35">
        <f t="shared" si="30"/>
        <v>0</v>
      </c>
      <c r="AA49" s="1"/>
    </row>
    <row r="50" spans="1:27" ht="6" customHeight="1" x14ac:dyDescent="0.35">
      <c r="A50" s="14"/>
      <c r="B50" s="28"/>
      <c r="C50" s="29"/>
      <c r="D50" s="28"/>
      <c r="E50" s="29"/>
      <c r="F50" s="28"/>
      <c r="G50" s="29"/>
      <c r="H50" s="28"/>
      <c r="I50" s="29"/>
      <c r="J50" s="28"/>
      <c r="K50" s="29"/>
      <c r="L50" s="28"/>
      <c r="M50" s="29"/>
      <c r="N50" s="28"/>
      <c r="O50" s="29"/>
      <c r="P50" s="28"/>
      <c r="Q50" s="29"/>
      <c r="R50" s="28"/>
      <c r="S50" s="29"/>
      <c r="T50" s="28"/>
      <c r="U50" s="29"/>
      <c r="V50" s="28"/>
      <c r="W50" s="29"/>
      <c r="X50" s="28"/>
      <c r="Y50" s="29"/>
      <c r="Z50" s="36"/>
      <c r="AA50" s="1"/>
    </row>
    <row r="51" spans="1:27" ht="17.5" x14ac:dyDescent="0.35">
      <c r="A51" s="12" t="s">
        <v>30</v>
      </c>
      <c r="B51" s="24">
        <f t="shared" ref="B51:Y51" si="31">B48-B49</f>
        <v>0</v>
      </c>
      <c r="C51" s="25">
        <f t="shared" si="31"/>
        <v>0</v>
      </c>
      <c r="D51" s="24">
        <f t="shared" si="31"/>
        <v>0</v>
      </c>
      <c r="E51" s="25">
        <f t="shared" si="31"/>
        <v>0</v>
      </c>
      <c r="F51" s="24">
        <f t="shared" si="31"/>
        <v>0</v>
      </c>
      <c r="G51" s="25">
        <f t="shared" si="31"/>
        <v>0</v>
      </c>
      <c r="H51" s="24">
        <f t="shared" si="31"/>
        <v>0</v>
      </c>
      <c r="I51" s="25">
        <f t="shared" si="31"/>
        <v>0</v>
      </c>
      <c r="J51" s="24">
        <f t="shared" si="31"/>
        <v>0</v>
      </c>
      <c r="K51" s="25">
        <f t="shared" si="31"/>
        <v>0</v>
      </c>
      <c r="L51" s="24">
        <f t="shared" si="31"/>
        <v>0</v>
      </c>
      <c r="M51" s="25">
        <f t="shared" si="31"/>
        <v>0</v>
      </c>
      <c r="N51" s="24">
        <f t="shared" si="31"/>
        <v>0</v>
      </c>
      <c r="O51" s="25">
        <f t="shared" si="31"/>
        <v>0</v>
      </c>
      <c r="P51" s="24">
        <f t="shared" si="31"/>
        <v>0</v>
      </c>
      <c r="Q51" s="25">
        <f t="shared" si="31"/>
        <v>0</v>
      </c>
      <c r="R51" s="24">
        <f t="shared" si="31"/>
        <v>0</v>
      </c>
      <c r="S51" s="25">
        <f t="shared" si="31"/>
        <v>0</v>
      </c>
      <c r="T51" s="24">
        <f t="shared" si="31"/>
        <v>0</v>
      </c>
      <c r="U51" s="25">
        <f t="shared" si="31"/>
        <v>0</v>
      </c>
      <c r="V51" s="24">
        <f t="shared" si="31"/>
        <v>0</v>
      </c>
      <c r="W51" s="25">
        <f t="shared" si="31"/>
        <v>0</v>
      </c>
      <c r="X51" s="24">
        <f t="shared" si="31"/>
        <v>0</v>
      </c>
      <c r="Y51" s="25">
        <f t="shared" si="31"/>
        <v>0</v>
      </c>
      <c r="Z51" s="35"/>
      <c r="AA51" s="1"/>
    </row>
    <row r="52" spans="1:27" ht="6" customHeight="1" x14ac:dyDescent="0.35">
      <c r="A52" s="14"/>
      <c r="B52" s="28"/>
      <c r="C52" s="29"/>
      <c r="D52" s="28"/>
      <c r="E52" s="29"/>
      <c r="F52" s="28"/>
      <c r="G52" s="29"/>
      <c r="H52" s="28"/>
      <c r="I52" s="29"/>
      <c r="J52" s="28"/>
      <c r="K52" s="29"/>
      <c r="L52" s="28"/>
      <c r="M52" s="29"/>
      <c r="N52" s="28"/>
      <c r="O52" s="29"/>
      <c r="P52" s="28"/>
      <c r="Q52" s="29"/>
      <c r="R52" s="28"/>
      <c r="S52" s="29"/>
      <c r="T52" s="28"/>
      <c r="U52" s="29"/>
      <c r="V52" s="28"/>
      <c r="W52" s="29"/>
      <c r="X52" s="28"/>
      <c r="Y52" s="29"/>
      <c r="Z52" s="36"/>
      <c r="AA52" s="1"/>
    </row>
    <row r="53" spans="1:27" ht="17.5" x14ac:dyDescent="0.35">
      <c r="A53" s="12" t="s">
        <v>66</v>
      </c>
      <c r="B53" s="30">
        <f t="shared" ref="B53:Y53" si="32">B39+B46+B51</f>
        <v>-900</v>
      </c>
      <c r="C53" s="31">
        <f t="shared" si="32"/>
        <v>-1076</v>
      </c>
      <c r="D53" s="30">
        <f t="shared" si="32"/>
        <v>-256</v>
      </c>
      <c r="E53" s="31">
        <f t="shared" si="32"/>
        <v>-396</v>
      </c>
      <c r="F53" s="30">
        <f t="shared" si="32"/>
        <v>792</v>
      </c>
      <c r="G53" s="31">
        <f t="shared" si="32"/>
        <v>232</v>
      </c>
      <c r="H53" s="30">
        <f t="shared" si="32"/>
        <v>-2557.08</v>
      </c>
      <c r="I53" s="31">
        <f t="shared" si="32"/>
        <v>-1062.9099999999999</v>
      </c>
      <c r="J53" s="30">
        <f t="shared" si="32"/>
        <v>-6.94</v>
      </c>
      <c r="K53" s="31">
        <f t="shared" si="32"/>
        <v>1565.23</v>
      </c>
      <c r="L53" s="30">
        <f t="shared" si="32"/>
        <v>0</v>
      </c>
      <c r="M53" s="31">
        <f t="shared" si="32"/>
        <v>2509.87</v>
      </c>
      <c r="N53" s="30">
        <f t="shared" si="32"/>
        <v>10729.87</v>
      </c>
      <c r="O53" s="31">
        <f t="shared" si="32"/>
        <v>3228.02</v>
      </c>
      <c r="P53" s="30">
        <f t="shared" si="32"/>
        <v>-4200</v>
      </c>
      <c r="Q53" s="31">
        <f t="shared" si="32"/>
        <v>3462.1299999999992</v>
      </c>
      <c r="R53" s="30">
        <f t="shared" si="32"/>
        <v>-4200</v>
      </c>
      <c r="S53" s="31">
        <f t="shared" si="32"/>
        <v>4889.9099999999989</v>
      </c>
      <c r="T53" s="30">
        <f t="shared" si="32"/>
        <v>-4200</v>
      </c>
      <c r="U53" s="31">
        <f t="shared" si="32"/>
        <v>2948.0100000000034</v>
      </c>
      <c r="V53" s="30">
        <f t="shared" si="32"/>
        <v>-4200</v>
      </c>
      <c r="W53" s="31">
        <f t="shared" si="32"/>
        <v>3952.42</v>
      </c>
      <c r="X53" s="30">
        <f t="shared" si="32"/>
        <v>-4200</v>
      </c>
      <c r="Y53" s="31">
        <f t="shared" si="32"/>
        <v>0</v>
      </c>
      <c r="Z53" s="35">
        <f t="shared" ref="Z53" si="33">C53+E53+G53+I53+K53+M53+O53+Q53+S53+U53+W53+Y53</f>
        <v>20252.680000000004</v>
      </c>
      <c r="AA53" s="1"/>
    </row>
    <row r="54" spans="1:27" ht="18" thickBot="1" x14ac:dyDescent="0.4">
      <c r="A54" s="17" t="s">
        <v>33</v>
      </c>
      <c r="B54" s="37">
        <f>C53-B53</f>
        <v>-176</v>
      </c>
      <c r="C54" s="38"/>
      <c r="D54" s="37">
        <f>E53-D53</f>
        <v>-140</v>
      </c>
      <c r="E54" s="38"/>
      <c r="F54" s="37">
        <f>G53-F53</f>
        <v>-560</v>
      </c>
      <c r="G54" s="38"/>
      <c r="H54" s="37">
        <f>I53-H53</f>
        <v>1494.17</v>
      </c>
      <c r="I54" s="38"/>
      <c r="J54" s="37">
        <f>K53-J53</f>
        <v>1572.17</v>
      </c>
      <c r="K54" s="38"/>
      <c r="L54" s="37">
        <f>M53-L53</f>
        <v>2509.87</v>
      </c>
      <c r="M54" s="38"/>
      <c r="N54" s="37">
        <f>O53-N53</f>
        <v>-7501.85</v>
      </c>
      <c r="O54" s="38"/>
      <c r="P54" s="37">
        <f>Q53-P53</f>
        <v>7662.1299999999992</v>
      </c>
      <c r="Q54" s="38"/>
      <c r="R54" s="37">
        <f>S53-R53</f>
        <v>9089.91</v>
      </c>
      <c r="S54" s="38"/>
      <c r="T54" s="37">
        <f>U53-T53</f>
        <v>7148.0100000000039</v>
      </c>
      <c r="U54" s="38"/>
      <c r="V54" s="37">
        <f>W53-V53</f>
        <v>8152.42</v>
      </c>
      <c r="W54" s="38"/>
      <c r="X54" s="37">
        <f>Y53-X53</f>
        <v>4200</v>
      </c>
      <c r="Y54" s="38"/>
      <c r="Z54" s="35"/>
      <c r="AA54" s="1"/>
    </row>
    <row r="55" spans="1:27" ht="17.5" x14ac:dyDescent="0.3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1"/>
    </row>
    <row r="56" spans="1:27" ht="17.5" x14ac:dyDescent="0.3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1"/>
    </row>
    <row r="57" spans="1:27" ht="17.5" x14ac:dyDescent="0.3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1"/>
    </row>
    <row r="58" spans="1:27" ht="17.5" x14ac:dyDescent="0.3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1"/>
    </row>
    <row r="59" spans="1:27" ht="17.5" x14ac:dyDescent="0.3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1"/>
    </row>
    <row r="60" spans="1:27" ht="17.5" x14ac:dyDescent="0.3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1"/>
    </row>
    <row r="61" spans="1:27" ht="17.5" x14ac:dyDescent="0.3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1"/>
    </row>
    <row r="62" spans="1:27" ht="17.5" x14ac:dyDescent="0.3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1"/>
    </row>
    <row r="63" spans="1:27" ht="17.5" x14ac:dyDescent="0.3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1"/>
    </row>
    <row r="64" spans="1:27" ht="17.5" x14ac:dyDescent="0.3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1"/>
    </row>
    <row r="65" spans="1:27" ht="17.5" x14ac:dyDescent="0.3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1"/>
    </row>
    <row r="66" spans="1:27" ht="17.5" x14ac:dyDescent="0.3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1"/>
    </row>
    <row r="67" spans="1:27" ht="17.5" x14ac:dyDescent="0.3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1"/>
    </row>
    <row r="68" spans="1:27" ht="17.5" x14ac:dyDescent="0.3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1"/>
    </row>
    <row r="69" spans="1:27" ht="17.5" x14ac:dyDescent="0.3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1"/>
    </row>
    <row r="70" spans="1:27" ht="17.5" x14ac:dyDescent="0.35">
      <c r="A70" s="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1"/>
    </row>
    <row r="71" spans="1:27" ht="17.5" x14ac:dyDescent="0.35">
      <c r="A71" s="9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1"/>
    </row>
    <row r="72" spans="1:27" ht="17.5" x14ac:dyDescent="0.35">
      <c r="A72" s="9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1"/>
    </row>
    <row r="73" spans="1:27" ht="17.5" x14ac:dyDescent="0.3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1"/>
    </row>
    <row r="74" spans="1:27" ht="17.5" x14ac:dyDescent="0.3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1"/>
    </row>
    <row r="75" spans="1:27" ht="17.5" x14ac:dyDescent="0.3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1"/>
    </row>
    <row r="76" spans="1:27" ht="17.5" x14ac:dyDescent="0.3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1"/>
    </row>
    <row r="77" spans="1:27" ht="17.5" x14ac:dyDescent="0.3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1"/>
    </row>
    <row r="78" spans="1:27" ht="17.5" x14ac:dyDescent="0.3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1"/>
    </row>
    <row r="79" spans="1:27" ht="17.5" x14ac:dyDescent="0.3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1"/>
    </row>
    <row r="80" spans="1:27" ht="17.5" x14ac:dyDescent="0.3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1"/>
    </row>
    <row r="81" spans="1:27" ht="17.5" x14ac:dyDescent="0.3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1"/>
    </row>
    <row r="82" spans="1:27" ht="17.5" x14ac:dyDescent="0.3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1"/>
    </row>
    <row r="83" spans="1:27" ht="17.5" x14ac:dyDescent="0.3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1"/>
    </row>
    <row r="84" spans="1:27" ht="17.5" x14ac:dyDescent="0.3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1"/>
    </row>
    <row r="85" spans="1:27" ht="17.5" x14ac:dyDescent="0.3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1"/>
    </row>
    <row r="86" spans="1:27" ht="17.5" x14ac:dyDescent="0.3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1"/>
    </row>
    <row r="87" spans="1:27" ht="17.5" x14ac:dyDescent="0.3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1"/>
    </row>
    <row r="88" spans="1:27" ht="17.5" x14ac:dyDescent="0.35">
      <c r="A88" s="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1"/>
    </row>
    <row r="89" spans="1:27" ht="17.5" x14ac:dyDescent="0.3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1"/>
    </row>
    <row r="90" spans="1:27" ht="17.5" x14ac:dyDescent="0.3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1"/>
    </row>
    <row r="91" spans="1:27" ht="17.5" x14ac:dyDescent="0.3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1"/>
    </row>
    <row r="92" spans="1:27" ht="17.5" x14ac:dyDescent="0.3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1"/>
    </row>
    <row r="93" spans="1:27" ht="17.5" x14ac:dyDescent="0.3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1"/>
    </row>
    <row r="94" spans="1:27" ht="17.5" x14ac:dyDescent="0.35">
      <c r="A94" s="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1"/>
    </row>
    <row r="95" spans="1:27" ht="17.5" x14ac:dyDescent="0.3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1"/>
    </row>
    <row r="96" spans="1:27" ht="17.5" x14ac:dyDescent="0.3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1"/>
    </row>
    <row r="97" spans="1:27" ht="17.5" x14ac:dyDescent="0.35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1"/>
    </row>
    <row r="98" spans="1:27" ht="17.5" x14ac:dyDescent="0.35">
      <c r="A98" s="10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1"/>
    </row>
    <row r="99" spans="1:27" ht="17.5" x14ac:dyDescent="0.35">
      <c r="A99" s="10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1"/>
    </row>
    <row r="100" spans="1:27" ht="17.5" x14ac:dyDescent="0.35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1"/>
    </row>
    <row r="101" spans="1:27" ht="17.5" x14ac:dyDescent="0.3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1"/>
    </row>
    <row r="102" spans="1:27" ht="17.5" x14ac:dyDescent="0.3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1"/>
    </row>
    <row r="103" spans="1:27" ht="17.5" x14ac:dyDescent="0.35">
      <c r="A103" s="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1"/>
    </row>
    <row r="104" spans="1:27" ht="17.5" x14ac:dyDescent="0.3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1"/>
    </row>
    <row r="105" spans="1:27" ht="17.5" x14ac:dyDescent="0.3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1"/>
    </row>
    <row r="106" spans="1:27" ht="17.5" x14ac:dyDescent="0.3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1"/>
    </row>
    <row r="107" spans="1:27" ht="17.5" x14ac:dyDescent="0.3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1"/>
    </row>
    <row r="108" spans="1:27" ht="17.5" x14ac:dyDescent="0.3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1"/>
    </row>
    <row r="109" spans="1:27" ht="17.5" x14ac:dyDescent="0.3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1"/>
    </row>
    <row r="110" spans="1:27" ht="17.5" x14ac:dyDescent="0.3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1"/>
    </row>
    <row r="111" spans="1:27" ht="17.5" x14ac:dyDescent="0.3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1"/>
    </row>
    <row r="112" spans="1:27" ht="17.5" x14ac:dyDescent="0.35">
      <c r="A112" s="7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1"/>
    </row>
    <row r="113" spans="1:27" ht="17.5" x14ac:dyDescent="0.3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1"/>
    </row>
    <row r="114" spans="1:27" ht="17.5" x14ac:dyDescent="0.3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1"/>
    </row>
    <row r="115" spans="1:27" ht="17.5" x14ac:dyDescent="0.3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1"/>
    </row>
    <row r="116" spans="1:27" ht="17.5" x14ac:dyDescent="0.3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1"/>
    </row>
    <row r="117" spans="1:27" ht="17.5" x14ac:dyDescent="0.3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1"/>
    </row>
    <row r="118" spans="1:27" ht="17.5" x14ac:dyDescent="0.3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1"/>
    </row>
    <row r="119" spans="1:27" ht="17.5" x14ac:dyDescent="0.3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1"/>
    </row>
    <row r="120" spans="1:27" ht="17.5" x14ac:dyDescent="0.3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7" ht="17.5" x14ac:dyDescent="0.35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7" ht="17.5" x14ac:dyDescent="0.3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7" ht="17.5" x14ac:dyDescent="0.3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7" ht="17.5" x14ac:dyDescent="0.35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7" ht="17.5" x14ac:dyDescent="0.35">
      <c r="A125" s="9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7" ht="17.5" x14ac:dyDescent="0.35">
      <c r="A126" s="9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7" x14ac:dyDescent="0.3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7" x14ac:dyDescent="0.3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2:26" x14ac:dyDescent="0.3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2:26" x14ac:dyDescent="0.3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2:26" x14ac:dyDescent="0.3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2:26" x14ac:dyDescent="0.3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2:26" x14ac:dyDescent="0.3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2:26" x14ac:dyDescent="0.3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2:26" x14ac:dyDescent="0.3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2:26" x14ac:dyDescent="0.3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2:26" x14ac:dyDescent="0.3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2:26" x14ac:dyDescent="0.3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2:26" x14ac:dyDescent="0.3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2:26" x14ac:dyDescent="0.3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2:26" x14ac:dyDescent="0.3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2:26" x14ac:dyDescent="0.3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2:26" x14ac:dyDescent="0.3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2:26" x14ac:dyDescent="0.3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2:26" x14ac:dyDescent="0.3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2:26" x14ac:dyDescent="0.3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</sheetData>
  <mergeCells count="24">
    <mergeCell ref="X1: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54:Y54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</mergeCells>
  <pageMargins left="0.7" right="0.7" top="0.75" bottom="0.75" header="0.3" footer="0.3"/>
  <pageSetup orientation="portrait" r:id="rId1"/>
  <ignoredErrors>
    <ignoredError sqref="B31:C31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F13A-E57D-4AC4-AE19-DFAE439655E7}">
  <dimension ref="A1:Y138"/>
  <sheetViews>
    <sheetView zoomScale="95" zoomScaleNormal="100" workbookViewId="0">
      <selection activeCell="W40" sqref="W40"/>
    </sheetView>
  </sheetViews>
  <sheetFormatPr baseColWidth="10" defaultRowHeight="15.5" x14ac:dyDescent="0.35"/>
  <cols>
    <col min="1" max="1" width="44.54296875" style="4" customWidth="1"/>
    <col min="2" max="2" width="12.453125" style="2" bestFit="1" customWidth="1"/>
    <col min="3" max="3" width="12.453125" style="2" customWidth="1"/>
    <col min="4" max="4" width="12.453125" style="2" bestFit="1" customWidth="1"/>
    <col min="5" max="5" width="12.453125" style="2" customWidth="1"/>
    <col min="6" max="6" width="12.453125" style="2" bestFit="1" customWidth="1"/>
    <col min="7" max="7" width="12.453125" style="2" customWidth="1"/>
    <col min="8" max="8" width="12.453125" style="2" bestFit="1" customWidth="1"/>
    <col min="9" max="9" width="12.453125" style="2" customWidth="1"/>
    <col min="10" max="10" width="12.453125" style="2" bestFit="1" customWidth="1"/>
    <col min="11" max="11" width="12.453125" style="2" customWidth="1"/>
    <col min="12" max="12" width="12.453125" style="2" bestFit="1" customWidth="1"/>
    <col min="13" max="13" width="12.453125" style="2" customWidth="1"/>
    <col min="14" max="14" width="12.453125" style="2" bestFit="1" customWidth="1"/>
    <col min="15" max="15" width="12.453125" style="2" customWidth="1"/>
    <col min="16" max="16" width="12.453125" style="2" bestFit="1" customWidth="1"/>
    <col min="17" max="17" width="12.453125" style="2" customWidth="1"/>
    <col min="18" max="18" width="12.453125" style="2" bestFit="1" customWidth="1"/>
    <col min="19" max="19" width="12.453125" style="2" customWidth="1"/>
    <col min="20" max="20" width="12.453125" style="2" bestFit="1" customWidth="1"/>
    <col min="21" max="21" width="12.453125" style="2" customWidth="1"/>
    <col min="22" max="22" width="12.453125" style="2" bestFit="1" customWidth="1"/>
    <col min="23" max="23" width="12.453125" style="2" customWidth="1"/>
    <col min="24" max="24" width="12.453125" style="2" bestFit="1" customWidth="1"/>
    <col min="25" max="25" width="12.453125" style="2" customWidth="1"/>
  </cols>
  <sheetData>
    <row r="1" spans="1:25" s="11" customFormat="1" ht="17.5" x14ac:dyDescent="0.35">
      <c r="A1" s="5" t="s">
        <v>0</v>
      </c>
      <c r="B1" s="39">
        <v>1</v>
      </c>
      <c r="C1" s="40"/>
      <c r="D1" s="39">
        <v>2</v>
      </c>
      <c r="E1" s="40"/>
      <c r="F1" s="39">
        <v>3</v>
      </c>
      <c r="G1" s="40"/>
      <c r="H1" s="39">
        <v>4</v>
      </c>
      <c r="I1" s="40"/>
      <c r="J1" s="39">
        <v>5</v>
      </c>
      <c r="K1" s="40"/>
      <c r="L1" s="39">
        <v>6</v>
      </c>
      <c r="M1" s="40"/>
      <c r="N1" s="39">
        <v>7</v>
      </c>
      <c r="O1" s="40"/>
      <c r="P1" s="39">
        <v>8</v>
      </c>
      <c r="Q1" s="40"/>
      <c r="R1" s="39">
        <v>9</v>
      </c>
      <c r="S1" s="40"/>
      <c r="T1" s="39">
        <v>10</v>
      </c>
      <c r="U1" s="40"/>
      <c r="V1" s="39">
        <v>11</v>
      </c>
      <c r="W1" s="40"/>
      <c r="X1" s="39">
        <v>12</v>
      </c>
      <c r="Y1" s="40"/>
    </row>
    <row r="2" spans="1:25" s="11" customFormat="1" x14ac:dyDescent="0.35">
      <c r="A2" s="16"/>
      <c r="B2" s="22" t="s">
        <v>31</v>
      </c>
      <c r="C2" s="23" t="s">
        <v>32</v>
      </c>
      <c r="D2" s="22" t="s">
        <v>31</v>
      </c>
      <c r="E2" s="23" t="s">
        <v>32</v>
      </c>
      <c r="F2" s="22" t="s">
        <v>31</v>
      </c>
      <c r="G2" s="23" t="s">
        <v>32</v>
      </c>
      <c r="H2" s="22" t="s">
        <v>31</v>
      </c>
      <c r="I2" s="23" t="s">
        <v>32</v>
      </c>
      <c r="J2" s="22" t="s">
        <v>31</v>
      </c>
      <c r="K2" s="23" t="s">
        <v>32</v>
      </c>
      <c r="L2" s="22" t="s">
        <v>31</v>
      </c>
      <c r="M2" s="23" t="s">
        <v>32</v>
      </c>
      <c r="N2" s="22" t="s">
        <v>31</v>
      </c>
      <c r="O2" s="23" t="s">
        <v>32</v>
      </c>
      <c r="P2" s="22" t="s">
        <v>31</v>
      </c>
      <c r="Q2" s="23" t="s">
        <v>32</v>
      </c>
      <c r="R2" s="22" t="s">
        <v>31</v>
      </c>
      <c r="S2" s="23" t="s">
        <v>32</v>
      </c>
      <c r="T2" s="22" t="s">
        <v>31</v>
      </c>
      <c r="U2" s="23" t="s">
        <v>32</v>
      </c>
      <c r="V2" s="22" t="s">
        <v>31</v>
      </c>
      <c r="W2" s="23" t="s">
        <v>32</v>
      </c>
      <c r="X2" s="22" t="s">
        <v>31</v>
      </c>
      <c r="Y2" s="23" t="s">
        <v>32</v>
      </c>
    </row>
    <row r="3" spans="1:25" ht="21" x14ac:dyDescent="0.35">
      <c r="A3" s="13" t="s">
        <v>35</v>
      </c>
      <c r="B3" s="24">
        <f t="shared" ref="B3:Y3" si="0">B4+B6+B10+B9</f>
        <v>0</v>
      </c>
      <c r="C3" s="25">
        <f t="shared" si="0"/>
        <v>5654.4</v>
      </c>
      <c r="D3" s="24">
        <f t="shared" si="0"/>
        <v>0</v>
      </c>
      <c r="E3" s="25">
        <f t="shared" si="0"/>
        <v>5654.4</v>
      </c>
      <c r="F3" s="24">
        <f t="shared" si="0"/>
        <v>0</v>
      </c>
      <c r="G3" s="25">
        <f t="shared" si="0"/>
        <v>6432</v>
      </c>
      <c r="H3" s="24">
        <f t="shared" si="0"/>
        <v>0</v>
      </c>
      <c r="I3" s="25">
        <f t="shared" si="0"/>
        <v>12008</v>
      </c>
      <c r="J3" s="24">
        <f t="shared" si="0"/>
        <v>0</v>
      </c>
      <c r="K3" s="25">
        <f t="shared" si="0"/>
        <v>12264</v>
      </c>
      <c r="L3" s="24">
        <f t="shared" si="0"/>
        <v>15640</v>
      </c>
      <c r="M3" s="25">
        <f t="shared" si="0"/>
        <v>14472</v>
      </c>
      <c r="N3" s="24">
        <f t="shared" si="0"/>
        <v>28216</v>
      </c>
      <c r="O3" s="25">
        <f t="shared" si="0"/>
        <v>22190.400000000001</v>
      </c>
      <c r="P3" s="24">
        <f t="shared" si="0"/>
        <v>5202</v>
      </c>
      <c r="Q3" s="25">
        <f t="shared" si="0"/>
        <v>20475.599999999999</v>
      </c>
      <c r="R3" s="24">
        <f t="shared" si="0"/>
        <v>5548.8</v>
      </c>
      <c r="S3" s="25">
        <f t="shared" si="0"/>
        <v>24948</v>
      </c>
      <c r="T3" s="24">
        <f t="shared" si="0"/>
        <v>6547.2</v>
      </c>
      <c r="U3" s="25">
        <f t="shared" si="0"/>
        <v>27496.800000000003</v>
      </c>
      <c r="V3" s="24">
        <f t="shared" si="0"/>
        <v>0</v>
      </c>
      <c r="W3" s="25">
        <f t="shared" si="0"/>
        <v>28132.799999999999</v>
      </c>
      <c r="X3" s="24">
        <f t="shared" si="0"/>
        <v>7296</v>
      </c>
      <c r="Y3" s="25">
        <f t="shared" si="0"/>
        <v>0</v>
      </c>
    </row>
    <row r="4" spans="1:25" ht="17.5" x14ac:dyDescent="0.35">
      <c r="A4" s="15" t="s">
        <v>36</v>
      </c>
      <c r="B4" s="24">
        <f t="shared" ref="B4:Y4" si="1">B5</f>
        <v>0</v>
      </c>
      <c r="C4" s="25">
        <f t="shared" si="1"/>
        <v>0</v>
      </c>
      <c r="D4" s="24">
        <f t="shared" si="1"/>
        <v>0</v>
      </c>
      <c r="E4" s="25">
        <f t="shared" si="1"/>
        <v>0</v>
      </c>
      <c r="F4" s="24">
        <f t="shared" si="1"/>
        <v>0</v>
      </c>
      <c r="G4" s="25">
        <f t="shared" si="1"/>
        <v>0</v>
      </c>
      <c r="H4" s="24">
        <f t="shared" si="1"/>
        <v>0</v>
      </c>
      <c r="I4" s="25">
        <f t="shared" si="1"/>
        <v>0</v>
      </c>
      <c r="J4" s="24">
        <f t="shared" si="1"/>
        <v>0</v>
      </c>
      <c r="K4" s="25">
        <f t="shared" si="1"/>
        <v>0</v>
      </c>
      <c r="L4" s="24">
        <f t="shared" si="1"/>
        <v>0</v>
      </c>
      <c r="M4" s="25">
        <f t="shared" si="1"/>
        <v>0</v>
      </c>
      <c r="N4" s="24">
        <f t="shared" si="1"/>
        <v>9600</v>
      </c>
      <c r="O4" s="25">
        <f t="shared" si="1"/>
        <v>6998.4</v>
      </c>
      <c r="P4" s="24">
        <f t="shared" si="1"/>
        <v>0</v>
      </c>
      <c r="Q4" s="25">
        <f t="shared" si="1"/>
        <v>7257.6</v>
      </c>
      <c r="R4" s="24">
        <f t="shared" si="1"/>
        <v>0</v>
      </c>
      <c r="S4" s="25">
        <f t="shared" si="1"/>
        <v>8887.2000000000007</v>
      </c>
      <c r="T4" s="24">
        <f t="shared" si="1"/>
        <v>0</v>
      </c>
      <c r="U4" s="25">
        <f t="shared" si="1"/>
        <v>9525.6</v>
      </c>
      <c r="V4" s="24">
        <f t="shared" si="1"/>
        <v>0</v>
      </c>
      <c r="W4" s="25">
        <f t="shared" si="1"/>
        <v>9844.7999999999993</v>
      </c>
      <c r="X4" s="24">
        <f t="shared" si="1"/>
        <v>0</v>
      </c>
      <c r="Y4" s="25">
        <f t="shared" si="1"/>
        <v>0</v>
      </c>
    </row>
    <row r="5" spans="1:25" ht="16.5" x14ac:dyDescent="0.35">
      <c r="A5" s="32" t="s">
        <v>3</v>
      </c>
      <c r="B5" s="26">
        <v>0</v>
      </c>
      <c r="C5" s="27">
        <v>0</v>
      </c>
      <c r="D5" s="26">
        <v>0</v>
      </c>
      <c r="E5" s="27">
        <v>0</v>
      </c>
      <c r="F5" s="26">
        <v>0</v>
      </c>
      <c r="G5" s="27">
        <v>0</v>
      </c>
      <c r="H5" s="26">
        <v>0</v>
      </c>
      <c r="I5" s="27">
        <v>0</v>
      </c>
      <c r="J5" s="26">
        <v>0</v>
      </c>
      <c r="K5" s="27">
        <v>0</v>
      </c>
      <c r="L5" s="26">
        <v>0</v>
      </c>
      <c r="M5" s="27">
        <v>0</v>
      </c>
      <c r="N5" s="26">
        <v>9600</v>
      </c>
      <c r="O5" s="27">
        <v>6998.4</v>
      </c>
      <c r="P5" s="26">
        <v>0</v>
      </c>
      <c r="Q5" s="27">
        <v>7257.6</v>
      </c>
      <c r="R5" s="26">
        <v>0</v>
      </c>
      <c r="S5" s="27">
        <v>8887.2000000000007</v>
      </c>
      <c r="T5" s="26">
        <v>0</v>
      </c>
      <c r="U5" s="27">
        <v>9525.6</v>
      </c>
      <c r="V5" s="26">
        <v>0</v>
      </c>
      <c r="W5" s="27">
        <v>9844.7999999999993</v>
      </c>
      <c r="X5" s="26">
        <v>0</v>
      </c>
      <c r="Y5" s="27">
        <v>0</v>
      </c>
    </row>
    <row r="6" spans="1:25" ht="17.5" x14ac:dyDescent="0.35">
      <c r="A6" s="15" t="s">
        <v>37</v>
      </c>
      <c r="B6" s="24">
        <f t="shared" ref="B6:C6" si="2">B7+B8</f>
        <v>0</v>
      </c>
      <c r="C6" s="25">
        <f t="shared" si="2"/>
        <v>5654.4</v>
      </c>
      <c r="D6" s="24">
        <f t="shared" ref="D6:E6" si="3">D7+D8</f>
        <v>0</v>
      </c>
      <c r="E6" s="25">
        <f t="shared" si="3"/>
        <v>5654.4</v>
      </c>
      <c r="F6" s="24">
        <f t="shared" ref="F6:G6" si="4">F7+F8</f>
        <v>0</v>
      </c>
      <c r="G6" s="25">
        <f t="shared" si="4"/>
        <v>6432</v>
      </c>
      <c r="H6" s="24">
        <f t="shared" ref="H6:Y6" si="5">H7+H8</f>
        <v>0</v>
      </c>
      <c r="I6" s="25">
        <f t="shared" si="5"/>
        <v>7008</v>
      </c>
      <c r="J6" s="24">
        <f t="shared" si="5"/>
        <v>0</v>
      </c>
      <c r="K6" s="25">
        <f t="shared" si="5"/>
        <v>12264</v>
      </c>
      <c r="L6" s="24">
        <f t="shared" si="5"/>
        <v>15640</v>
      </c>
      <c r="M6" s="25">
        <f t="shared" si="5"/>
        <v>14472</v>
      </c>
      <c r="N6" s="24">
        <f t="shared" si="5"/>
        <v>18616</v>
      </c>
      <c r="O6" s="25">
        <f t="shared" si="5"/>
        <v>15192</v>
      </c>
      <c r="P6" s="24">
        <f t="shared" si="5"/>
        <v>5202</v>
      </c>
      <c r="Q6" s="25">
        <f t="shared" si="5"/>
        <v>13218</v>
      </c>
      <c r="R6" s="24">
        <f t="shared" si="5"/>
        <v>5548.8</v>
      </c>
      <c r="S6" s="25">
        <f t="shared" si="5"/>
        <v>16060.8</v>
      </c>
      <c r="T6" s="24">
        <f t="shared" si="5"/>
        <v>6547.2</v>
      </c>
      <c r="U6" s="25">
        <f t="shared" si="5"/>
        <v>17971.2</v>
      </c>
      <c r="V6" s="24">
        <f t="shared" si="5"/>
        <v>0</v>
      </c>
      <c r="W6" s="25">
        <f t="shared" si="5"/>
        <v>18288</v>
      </c>
      <c r="X6" s="24">
        <f t="shared" si="5"/>
        <v>7296</v>
      </c>
      <c r="Y6" s="25">
        <f t="shared" si="5"/>
        <v>0</v>
      </c>
    </row>
    <row r="7" spans="1:25" ht="16.5" x14ac:dyDescent="0.35">
      <c r="A7" s="32" t="s">
        <v>5</v>
      </c>
      <c r="B7" s="26">
        <v>0</v>
      </c>
      <c r="C7" s="27">
        <v>5654.4</v>
      </c>
      <c r="D7" s="26">
        <v>0</v>
      </c>
      <c r="E7" s="27">
        <v>5654.4</v>
      </c>
      <c r="F7" s="26">
        <v>0</v>
      </c>
      <c r="G7" s="27">
        <v>6432</v>
      </c>
      <c r="H7" s="26">
        <v>0</v>
      </c>
      <c r="I7" s="27">
        <v>7008</v>
      </c>
      <c r="J7" s="26">
        <v>0</v>
      </c>
      <c r="K7" s="27">
        <v>7680</v>
      </c>
      <c r="L7" s="26">
        <v>10280</v>
      </c>
      <c r="M7" s="27">
        <v>8016</v>
      </c>
      <c r="N7" s="26">
        <v>11680</v>
      </c>
      <c r="O7" s="27">
        <v>8256</v>
      </c>
      <c r="P7" s="26">
        <v>0</v>
      </c>
      <c r="Q7" s="27">
        <v>8016</v>
      </c>
      <c r="R7" s="26">
        <v>0</v>
      </c>
      <c r="S7" s="27">
        <v>10512</v>
      </c>
      <c r="T7" s="26">
        <v>0</v>
      </c>
      <c r="U7" s="27">
        <v>11424</v>
      </c>
      <c r="V7" s="26">
        <v>0</v>
      </c>
      <c r="W7" s="27">
        <v>11472</v>
      </c>
      <c r="X7" s="26">
        <v>0</v>
      </c>
      <c r="Y7" s="27">
        <v>0</v>
      </c>
    </row>
    <row r="8" spans="1:25" ht="16.5" x14ac:dyDescent="0.35">
      <c r="A8" s="32" t="s">
        <v>6</v>
      </c>
      <c r="B8" s="26">
        <v>0</v>
      </c>
      <c r="C8" s="27">
        <v>0</v>
      </c>
      <c r="D8" s="26">
        <v>0</v>
      </c>
      <c r="E8" s="27">
        <v>0</v>
      </c>
      <c r="F8" s="26">
        <v>0</v>
      </c>
      <c r="G8" s="27">
        <v>0</v>
      </c>
      <c r="H8" s="26">
        <v>0</v>
      </c>
      <c r="I8" s="27">
        <v>0</v>
      </c>
      <c r="J8" s="26">
        <v>0</v>
      </c>
      <c r="K8" s="27">
        <v>4584</v>
      </c>
      <c r="L8" s="26">
        <v>5360</v>
      </c>
      <c r="M8" s="27">
        <v>6456</v>
      </c>
      <c r="N8" s="26">
        <v>6936</v>
      </c>
      <c r="O8" s="27">
        <v>6936</v>
      </c>
      <c r="P8" s="26">
        <v>5202</v>
      </c>
      <c r="Q8" s="27">
        <v>5202</v>
      </c>
      <c r="R8" s="26">
        <v>5548.8</v>
      </c>
      <c r="S8" s="27">
        <v>5548.8</v>
      </c>
      <c r="T8" s="26">
        <v>6547.2</v>
      </c>
      <c r="U8" s="27">
        <v>6547.2</v>
      </c>
      <c r="V8" s="26">
        <v>0</v>
      </c>
      <c r="W8" s="27">
        <v>6816</v>
      </c>
      <c r="X8" s="26">
        <v>7296</v>
      </c>
      <c r="Y8" s="27">
        <v>0</v>
      </c>
    </row>
    <row r="9" spans="1:25" ht="17.5" x14ac:dyDescent="0.35">
      <c r="A9" s="15" t="s">
        <v>38</v>
      </c>
      <c r="B9" s="26">
        <v>0</v>
      </c>
      <c r="C9" s="27">
        <v>0</v>
      </c>
      <c r="D9" s="26">
        <v>0</v>
      </c>
      <c r="E9" s="27">
        <v>0</v>
      </c>
      <c r="F9" s="26">
        <v>0</v>
      </c>
      <c r="G9" s="27">
        <v>0</v>
      </c>
      <c r="H9" s="26">
        <v>0</v>
      </c>
      <c r="I9" s="27">
        <v>5000</v>
      </c>
      <c r="J9" s="26">
        <v>0</v>
      </c>
      <c r="K9" s="27">
        <v>0</v>
      </c>
      <c r="L9" s="26">
        <v>0</v>
      </c>
      <c r="M9" s="27">
        <v>0</v>
      </c>
      <c r="N9" s="26">
        <v>0</v>
      </c>
      <c r="O9" s="27">
        <v>0</v>
      </c>
      <c r="P9" s="26">
        <v>0</v>
      </c>
      <c r="Q9" s="27">
        <v>0</v>
      </c>
      <c r="R9" s="26">
        <v>0</v>
      </c>
      <c r="S9" s="27">
        <v>0</v>
      </c>
      <c r="T9" s="26">
        <v>0</v>
      </c>
      <c r="U9" s="27">
        <v>0</v>
      </c>
      <c r="V9" s="26">
        <v>0</v>
      </c>
      <c r="W9" s="27">
        <v>0</v>
      </c>
      <c r="X9" s="26">
        <v>0</v>
      </c>
      <c r="Y9" s="27">
        <v>0</v>
      </c>
    </row>
    <row r="10" spans="1:25" ht="17.5" x14ac:dyDescent="0.35">
      <c r="A10" s="15" t="s">
        <v>39</v>
      </c>
      <c r="B10" s="26">
        <v>0</v>
      </c>
      <c r="C10" s="27">
        <v>0</v>
      </c>
      <c r="D10" s="26">
        <v>0</v>
      </c>
      <c r="E10" s="27">
        <v>0</v>
      </c>
      <c r="F10" s="26">
        <v>0</v>
      </c>
      <c r="G10" s="27">
        <v>0</v>
      </c>
      <c r="H10" s="26">
        <v>0</v>
      </c>
      <c r="I10" s="27">
        <v>0</v>
      </c>
      <c r="J10" s="26">
        <v>0</v>
      </c>
      <c r="K10" s="27">
        <v>0</v>
      </c>
      <c r="L10" s="26">
        <v>0</v>
      </c>
      <c r="M10" s="27">
        <v>0</v>
      </c>
      <c r="N10" s="26">
        <v>0</v>
      </c>
      <c r="O10" s="27">
        <v>0</v>
      </c>
      <c r="P10" s="26">
        <v>0</v>
      </c>
      <c r="Q10" s="27">
        <v>0</v>
      </c>
      <c r="R10" s="26">
        <v>0</v>
      </c>
      <c r="S10" s="27">
        <v>0</v>
      </c>
      <c r="T10" s="26">
        <v>0</v>
      </c>
      <c r="U10" s="27">
        <v>0</v>
      </c>
      <c r="V10" s="26">
        <v>0</v>
      </c>
      <c r="W10" s="27">
        <v>0</v>
      </c>
      <c r="X10" s="26">
        <v>0</v>
      </c>
      <c r="Y10" s="27">
        <v>0</v>
      </c>
    </row>
    <row r="11" spans="1:25" ht="6" customHeight="1" x14ac:dyDescent="0.35">
      <c r="A11" s="14"/>
      <c r="B11" s="28"/>
      <c r="C11" s="29"/>
      <c r="D11" s="28"/>
      <c r="E11" s="29"/>
      <c r="F11" s="28"/>
      <c r="G11" s="29"/>
      <c r="H11" s="28"/>
      <c r="I11" s="29"/>
      <c r="J11" s="28"/>
      <c r="K11" s="29"/>
      <c r="L11" s="28"/>
      <c r="M11" s="29"/>
      <c r="N11" s="28"/>
      <c r="O11" s="29"/>
      <c r="P11" s="28"/>
      <c r="Q11" s="29"/>
      <c r="R11" s="28"/>
      <c r="S11" s="29"/>
      <c r="T11" s="28"/>
      <c r="U11" s="29"/>
      <c r="V11" s="28"/>
      <c r="W11" s="29"/>
      <c r="X11" s="28"/>
      <c r="Y11" s="29"/>
    </row>
    <row r="12" spans="1:25" ht="21" x14ac:dyDescent="0.35">
      <c r="A12" s="13" t="s">
        <v>42</v>
      </c>
      <c r="B12" s="24">
        <f t="shared" ref="B12:Y12" si="6">B13+B14+B15+B31+B37+B38+B39</f>
        <v>0</v>
      </c>
      <c r="C12" s="25">
        <f t="shared" si="6"/>
        <v>5877.6</v>
      </c>
      <c r="D12" s="24">
        <f t="shared" si="6"/>
        <v>0</v>
      </c>
      <c r="E12" s="25">
        <f t="shared" si="6"/>
        <v>9454.4</v>
      </c>
      <c r="F12" s="24">
        <f t="shared" si="6"/>
        <v>0</v>
      </c>
      <c r="G12" s="25">
        <f t="shared" si="6"/>
        <v>5380.4000000000005</v>
      </c>
      <c r="H12" s="24">
        <f t="shared" si="6"/>
        <v>0</v>
      </c>
      <c r="I12" s="25">
        <f t="shared" si="6"/>
        <v>15851.22</v>
      </c>
      <c r="J12" s="24">
        <f t="shared" si="6"/>
        <v>0</v>
      </c>
      <c r="K12" s="25">
        <f t="shared" si="6"/>
        <v>11272.72</v>
      </c>
      <c r="L12" s="24">
        <f t="shared" si="6"/>
        <v>10572.82</v>
      </c>
      <c r="M12" s="25">
        <f t="shared" si="6"/>
        <v>11840.92</v>
      </c>
      <c r="N12" s="24">
        <f t="shared" si="6"/>
        <v>17841.82</v>
      </c>
      <c r="O12" s="25">
        <f t="shared" si="6"/>
        <v>20047.02</v>
      </c>
      <c r="P12" s="24">
        <f t="shared" si="6"/>
        <v>6503.0199999999995</v>
      </c>
      <c r="Q12" s="25">
        <f t="shared" si="6"/>
        <v>16831.02</v>
      </c>
      <c r="R12" s="24">
        <f t="shared" si="6"/>
        <v>8093.2199999999993</v>
      </c>
      <c r="S12" s="25">
        <f t="shared" si="6"/>
        <v>21496.22</v>
      </c>
      <c r="T12" s="24">
        <f t="shared" si="6"/>
        <v>6047.82</v>
      </c>
      <c r="U12" s="25">
        <f t="shared" si="6"/>
        <v>28921.02</v>
      </c>
      <c r="V12" s="24">
        <f t="shared" si="6"/>
        <v>4607.82</v>
      </c>
      <c r="W12" s="25">
        <f t="shared" si="6"/>
        <v>26228.02</v>
      </c>
      <c r="X12" s="24">
        <f t="shared" si="6"/>
        <v>4607.82</v>
      </c>
      <c r="Y12" s="25">
        <f t="shared" si="6"/>
        <v>0</v>
      </c>
    </row>
    <row r="13" spans="1:25" ht="17.5" x14ac:dyDescent="0.35">
      <c r="A13" s="15" t="s">
        <v>41</v>
      </c>
      <c r="B13" s="26">
        <v>0</v>
      </c>
      <c r="C13" s="27">
        <v>0</v>
      </c>
      <c r="D13" s="26">
        <v>0</v>
      </c>
      <c r="E13" s="27">
        <v>0</v>
      </c>
      <c r="F13" s="26">
        <v>0</v>
      </c>
      <c r="G13" s="27">
        <v>0</v>
      </c>
      <c r="H13" s="26">
        <v>0</v>
      </c>
      <c r="I13" s="27">
        <v>0</v>
      </c>
      <c r="J13" s="26">
        <v>0</v>
      </c>
      <c r="K13" s="27">
        <v>0</v>
      </c>
      <c r="L13" s="26">
        <v>0</v>
      </c>
      <c r="M13" s="27">
        <v>0</v>
      </c>
      <c r="N13" s="26">
        <v>6400</v>
      </c>
      <c r="O13" s="27">
        <v>7680</v>
      </c>
      <c r="P13" s="26">
        <v>0</v>
      </c>
      <c r="Q13" s="27">
        <v>4800</v>
      </c>
      <c r="R13" s="26">
        <v>0</v>
      </c>
      <c r="S13" s="27">
        <v>4800</v>
      </c>
      <c r="T13" s="26">
        <v>0</v>
      </c>
      <c r="U13" s="27">
        <v>7200</v>
      </c>
      <c r="V13" s="26">
        <v>0</v>
      </c>
      <c r="W13" s="27">
        <v>9600</v>
      </c>
      <c r="X13" s="26">
        <v>0</v>
      </c>
      <c r="Y13" s="27">
        <v>0</v>
      </c>
    </row>
    <row r="14" spans="1:25" ht="17.5" x14ac:dyDescent="0.35">
      <c r="A14" s="15" t="s">
        <v>40</v>
      </c>
      <c r="B14" s="26">
        <v>0</v>
      </c>
      <c r="C14" s="27">
        <v>297.60000000000002</v>
      </c>
      <c r="D14" s="26">
        <v>0</v>
      </c>
      <c r="E14" s="27">
        <v>297.60000000000002</v>
      </c>
      <c r="F14" s="26">
        <v>0</v>
      </c>
      <c r="G14" s="27">
        <v>321.60000000000002</v>
      </c>
      <c r="H14" s="26">
        <v>0</v>
      </c>
      <c r="I14" s="27">
        <v>465</v>
      </c>
      <c r="J14" s="26">
        <v>0</v>
      </c>
      <c r="K14" s="27">
        <v>545.4</v>
      </c>
      <c r="L14" s="26">
        <f>(257*3)+(254*1)</f>
        <v>1025</v>
      </c>
      <c r="M14" s="27">
        <v>948</v>
      </c>
      <c r="N14" s="26">
        <v>0</v>
      </c>
      <c r="O14" s="27">
        <v>925.2</v>
      </c>
      <c r="P14" s="26">
        <v>0</v>
      </c>
      <c r="Q14" s="27">
        <v>948</v>
      </c>
      <c r="R14" s="26">
        <v>0</v>
      </c>
      <c r="S14" s="27">
        <v>2016</v>
      </c>
      <c r="T14" s="26">
        <v>0</v>
      </c>
      <c r="U14" s="27">
        <v>2134.8000000000002</v>
      </c>
      <c r="V14" s="26">
        <v>0</v>
      </c>
      <c r="W14" s="27">
        <v>2228.4</v>
      </c>
      <c r="X14" s="26">
        <v>0</v>
      </c>
      <c r="Y14" s="27">
        <v>0</v>
      </c>
    </row>
    <row r="15" spans="1:25" ht="17.5" x14ac:dyDescent="0.35">
      <c r="A15" s="15" t="s">
        <v>9</v>
      </c>
      <c r="B15" s="24">
        <f>SUM(B16:B30)</f>
        <v>0</v>
      </c>
      <c r="C15" s="25">
        <f t="shared" ref="C15" si="7">SUM(C16:C30)</f>
        <v>2040</v>
      </c>
      <c r="D15" s="24">
        <f t="shared" ref="D15:E15" si="8">SUM(D16:D30)</f>
        <v>0</v>
      </c>
      <c r="E15" s="25">
        <f t="shared" si="8"/>
        <v>5124</v>
      </c>
      <c r="F15" s="24">
        <f t="shared" ref="F15:G15" si="9">SUM(F16:F30)</f>
        <v>0</v>
      </c>
      <c r="G15" s="25">
        <f t="shared" si="9"/>
        <v>1500</v>
      </c>
      <c r="H15" s="24">
        <f t="shared" ref="H15:Y15" si="10">SUM(H16:H30)</f>
        <v>0</v>
      </c>
      <c r="I15" s="25">
        <f t="shared" si="10"/>
        <v>8310</v>
      </c>
      <c r="J15" s="24">
        <f t="shared" si="10"/>
        <v>0</v>
      </c>
      <c r="K15" s="25">
        <f t="shared" si="10"/>
        <v>3960</v>
      </c>
      <c r="L15" s="24">
        <f t="shared" si="10"/>
        <v>3240</v>
      </c>
      <c r="M15" s="25">
        <f t="shared" si="10"/>
        <v>3000</v>
      </c>
      <c r="N15" s="24">
        <f t="shared" si="10"/>
        <v>3360</v>
      </c>
      <c r="O15" s="25">
        <f t="shared" si="10"/>
        <v>3360</v>
      </c>
      <c r="P15" s="24">
        <f t="shared" si="10"/>
        <v>2280</v>
      </c>
      <c r="Q15" s="25">
        <f t="shared" si="10"/>
        <v>3360</v>
      </c>
      <c r="R15" s="24">
        <f t="shared" si="10"/>
        <v>3360</v>
      </c>
      <c r="S15" s="25">
        <f t="shared" si="10"/>
        <v>3480</v>
      </c>
      <c r="T15" s="24">
        <f t="shared" si="10"/>
        <v>3240</v>
      </c>
      <c r="U15" s="25">
        <f t="shared" si="10"/>
        <v>7740</v>
      </c>
      <c r="V15" s="24">
        <f t="shared" si="10"/>
        <v>1800</v>
      </c>
      <c r="W15" s="25">
        <f t="shared" si="10"/>
        <v>3360</v>
      </c>
      <c r="X15" s="24">
        <f t="shared" si="10"/>
        <v>1800</v>
      </c>
      <c r="Y15" s="25">
        <f t="shared" si="10"/>
        <v>0</v>
      </c>
    </row>
    <row r="16" spans="1:25" ht="16.5" x14ac:dyDescent="0.35">
      <c r="A16" s="33" t="s">
        <v>78</v>
      </c>
      <c r="B16" s="26">
        <v>0</v>
      </c>
      <c r="C16" s="27">
        <v>0</v>
      </c>
      <c r="D16" s="26">
        <v>0</v>
      </c>
      <c r="E16" s="27">
        <v>864</v>
      </c>
      <c r="F16" s="26">
        <v>0</v>
      </c>
      <c r="G16" s="27">
        <v>0</v>
      </c>
      <c r="H16" s="26">
        <v>0</v>
      </c>
      <c r="I16" s="27">
        <v>0</v>
      </c>
      <c r="J16" s="26">
        <v>0</v>
      </c>
      <c r="K16" s="27">
        <v>0</v>
      </c>
      <c r="L16" s="26">
        <v>0</v>
      </c>
      <c r="M16" s="27">
        <v>0</v>
      </c>
      <c r="N16" s="26">
        <v>0</v>
      </c>
      <c r="O16" s="27">
        <v>0</v>
      </c>
      <c r="P16" s="26">
        <v>0</v>
      </c>
      <c r="Q16" s="27">
        <v>0</v>
      </c>
      <c r="R16" s="26">
        <v>0</v>
      </c>
      <c r="S16" s="27">
        <v>0</v>
      </c>
      <c r="T16" s="26">
        <v>0</v>
      </c>
      <c r="U16" s="27">
        <v>0</v>
      </c>
      <c r="V16" s="26">
        <v>0</v>
      </c>
      <c r="W16" s="27">
        <v>0</v>
      </c>
      <c r="X16" s="26">
        <v>0</v>
      </c>
      <c r="Y16" s="27">
        <v>0</v>
      </c>
    </row>
    <row r="17" spans="1:25" ht="16.5" x14ac:dyDescent="0.35">
      <c r="A17" s="33" t="s">
        <v>73</v>
      </c>
      <c r="B17" s="26">
        <v>0</v>
      </c>
      <c r="C17" s="27">
        <v>720</v>
      </c>
      <c r="D17" s="26">
        <v>0</v>
      </c>
      <c r="E17" s="27">
        <v>0</v>
      </c>
      <c r="F17" s="26">
        <v>0</v>
      </c>
      <c r="G17" s="27">
        <v>0</v>
      </c>
      <c r="H17" s="26">
        <v>0</v>
      </c>
      <c r="I17" s="27">
        <v>0</v>
      </c>
      <c r="J17" s="26">
        <v>0</v>
      </c>
      <c r="K17" s="27">
        <v>720</v>
      </c>
      <c r="L17" s="26">
        <v>0</v>
      </c>
      <c r="M17" s="27">
        <v>0</v>
      </c>
      <c r="N17" s="26">
        <v>0</v>
      </c>
      <c r="O17" s="27">
        <v>0</v>
      </c>
      <c r="P17" s="26">
        <v>0</v>
      </c>
      <c r="Q17" s="27">
        <v>0</v>
      </c>
      <c r="R17" s="26">
        <v>0</v>
      </c>
      <c r="S17" s="27">
        <v>0</v>
      </c>
      <c r="T17" s="26">
        <v>0</v>
      </c>
      <c r="U17" s="27">
        <v>720</v>
      </c>
      <c r="V17" s="26">
        <v>0</v>
      </c>
      <c r="W17" s="27">
        <v>0</v>
      </c>
      <c r="X17" s="26">
        <v>0</v>
      </c>
      <c r="Y17" s="27">
        <v>0</v>
      </c>
    </row>
    <row r="18" spans="1:25" ht="16.5" x14ac:dyDescent="0.35">
      <c r="A18" s="33" t="s">
        <v>74</v>
      </c>
      <c r="B18" s="26">
        <v>0</v>
      </c>
      <c r="C18" s="27">
        <v>0</v>
      </c>
      <c r="D18" s="26">
        <v>0</v>
      </c>
      <c r="E18" s="27">
        <v>0</v>
      </c>
      <c r="F18" s="26">
        <v>0</v>
      </c>
      <c r="G18" s="27">
        <v>0</v>
      </c>
      <c r="H18" s="26">
        <v>0</v>
      </c>
      <c r="I18" s="27">
        <v>3600</v>
      </c>
      <c r="J18" s="26">
        <v>0</v>
      </c>
      <c r="K18" s="27">
        <v>0</v>
      </c>
      <c r="L18" s="26">
        <v>0</v>
      </c>
      <c r="M18" s="27">
        <v>0</v>
      </c>
      <c r="N18" s="26">
        <v>0</v>
      </c>
      <c r="O18" s="27">
        <v>0</v>
      </c>
      <c r="P18" s="26">
        <v>0</v>
      </c>
      <c r="Q18" s="27">
        <v>0</v>
      </c>
      <c r="R18" s="26">
        <v>0</v>
      </c>
      <c r="S18" s="27">
        <v>0</v>
      </c>
      <c r="T18" s="26">
        <v>0</v>
      </c>
      <c r="U18" s="27">
        <v>3600</v>
      </c>
      <c r="V18" s="26">
        <v>0</v>
      </c>
      <c r="W18" s="27">
        <v>0</v>
      </c>
      <c r="X18" s="26">
        <v>0</v>
      </c>
      <c r="Y18" s="27">
        <v>0</v>
      </c>
    </row>
    <row r="19" spans="1:25" ht="16.5" x14ac:dyDescent="0.35">
      <c r="A19" s="33" t="s">
        <v>75</v>
      </c>
      <c r="B19" s="26">
        <v>0</v>
      </c>
      <c r="C19" s="27">
        <v>0</v>
      </c>
      <c r="D19" s="26">
        <v>0</v>
      </c>
      <c r="E19" s="27">
        <v>0</v>
      </c>
      <c r="F19" s="26">
        <v>0</v>
      </c>
      <c r="G19" s="27">
        <v>0</v>
      </c>
      <c r="H19" s="26">
        <v>0</v>
      </c>
      <c r="I19" s="27">
        <v>0</v>
      </c>
      <c r="J19" s="26">
        <v>0</v>
      </c>
      <c r="K19" s="27">
        <v>0</v>
      </c>
      <c r="L19" s="26">
        <v>0</v>
      </c>
      <c r="M19" s="27">
        <v>0</v>
      </c>
      <c r="N19" s="26">
        <v>0</v>
      </c>
      <c r="O19" s="27">
        <v>0</v>
      </c>
      <c r="P19" s="26">
        <v>0</v>
      </c>
      <c r="Q19" s="27">
        <v>0</v>
      </c>
      <c r="R19" s="26">
        <v>0</v>
      </c>
      <c r="S19" s="27">
        <v>0</v>
      </c>
      <c r="T19" s="26">
        <v>0</v>
      </c>
      <c r="U19" s="27">
        <v>0</v>
      </c>
      <c r="V19" s="26">
        <v>0</v>
      </c>
      <c r="W19" s="27">
        <v>0</v>
      </c>
      <c r="X19" s="26">
        <v>0</v>
      </c>
      <c r="Y19" s="27">
        <v>0</v>
      </c>
    </row>
    <row r="20" spans="1:25" ht="16.5" x14ac:dyDescent="0.35">
      <c r="A20" s="33" t="s">
        <v>10</v>
      </c>
      <c r="B20" s="26">
        <v>0</v>
      </c>
      <c r="C20" s="27">
        <v>1080</v>
      </c>
      <c r="D20" s="26">
        <v>0</v>
      </c>
      <c r="E20" s="27">
        <v>840</v>
      </c>
      <c r="F20" s="26">
        <v>0</v>
      </c>
      <c r="G20" s="27">
        <v>840</v>
      </c>
      <c r="H20" s="26">
        <v>0</v>
      </c>
      <c r="I20" s="27">
        <v>840</v>
      </c>
      <c r="J20" s="26">
        <v>0</v>
      </c>
      <c r="K20" s="27">
        <v>1080</v>
      </c>
      <c r="L20" s="26">
        <v>1080</v>
      </c>
      <c r="M20" s="27">
        <v>1080</v>
      </c>
      <c r="N20" s="26">
        <v>1080</v>
      </c>
      <c r="O20" s="27">
        <v>1080</v>
      </c>
      <c r="P20" s="26">
        <v>0</v>
      </c>
      <c r="Q20" s="27">
        <v>1080</v>
      </c>
      <c r="R20" s="26">
        <v>1080</v>
      </c>
      <c r="S20" s="27">
        <v>1080</v>
      </c>
      <c r="T20" s="26">
        <v>1080</v>
      </c>
      <c r="U20" s="27">
        <v>1080</v>
      </c>
      <c r="V20" s="26">
        <v>0</v>
      </c>
      <c r="W20" s="27">
        <v>1080</v>
      </c>
      <c r="X20" s="26">
        <v>0</v>
      </c>
      <c r="Y20" s="27">
        <v>0</v>
      </c>
    </row>
    <row r="21" spans="1:25" ht="16.5" x14ac:dyDescent="0.35">
      <c r="A21" s="33" t="s">
        <v>71</v>
      </c>
      <c r="B21" s="26">
        <v>0</v>
      </c>
      <c r="C21" s="27">
        <v>0</v>
      </c>
      <c r="D21" s="26">
        <v>0</v>
      </c>
      <c r="E21" s="27">
        <v>0</v>
      </c>
      <c r="F21" s="26">
        <v>0</v>
      </c>
      <c r="G21" s="27">
        <v>0</v>
      </c>
      <c r="H21" s="26">
        <v>0</v>
      </c>
      <c r="I21" s="27">
        <v>0</v>
      </c>
      <c r="J21" s="26">
        <v>0</v>
      </c>
      <c r="K21" s="27">
        <v>0</v>
      </c>
      <c r="L21" s="26">
        <v>0</v>
      </c>
      <c r="M21" s="27">
        <v>0</v>
      </c>
      <c r="N21" s="26">
        <v>360</v>
      </c>
      <c r="O21" s="27">
        <v>360</v>
      </c>
      <c r="P21" s="26">
        <v>360</v>
      </c>
      <c r="Q21" s="27">
        <v>360</v>
      </c>
      <c r="R21" s="26">
        <v>360</v>
      </c>
      <c r="S21" s="27">
        <v>360</v>
      </c>
      <c r="T21" s="26">
        <v>360</v>
      </c>
      <c r="U21" s="27">
        <v>360</v>
      </c>
      <c r="V21" s="26">
        <v>0</v>
      </c>
      <c r="W21" s="27">
        <v>360</v>
      </c>
      <c r="X21" s="26">
        <v>0</v>
      </c>
      <c r="Y21" s="27">
        <v>0</v>
      </c>
    </row>
    <row r="22" spans="1:25" ht="16.5" x14ac:dyDescent="0.35">
      <c r="A22" s="33" t="s">
        <v>62</v>
      </c>
      <c r="B22" s="26">
        <v>0</v>
      </c>
      <c r="C22" s="27">
        <v>0</v>
      </c>
      <c r="D22" s="26">
        <v>0</v>
      </c>
      <c r="E22" s="27">
        <v>2880</v>
      </c>
      <c r="F22" s="26">
        <v>0</v>
      </c>
      <c r="G22" s="27">
        <v>0</v>
      </c>
      <c r="H22" s="26">
        <v>0</v>
      </c>
      <c r="I22" s="27">
        <v>0</v>
      </c>
      <c r="J22" s="26">
        <v>0</v>
      </c>
      <c r="K22" s="27">
        <v>0</v>
      </c>
      <c r="L22" s="26">
        <v>0</v>
      </c>
      <c r="M22" s="27">
        <v>0</v>
      </c>
      <c r="N22" s="26">
        <v>0</v>
      </c>
      <c r="O22" s="27">
        <v>0</v>
      </c>
      <c r="P22" s="26">
        <v>0</v>
      </c>
      <c r="Q22" s="27">
        <v>0</v>
      </c>
      <c r="R22" s="26">
        <v>0</v>
      </c>
      <c r="S22" s="27">
        <v>0</v>
      </c>
      <c r="T22" s="26">
        <v>0</v>
      </c>
      <c r="U22" s="27">
        <v>0</v>
      </c>
      <c r="V22" s="26">
        <v>0</v>
      </c>
      <c r="W22" s="27">
        <v>0</v>
      </c>
      <c r="X22" s="26">
        <v>0</v>
      </c>
      <c r="Y22" s="27">
        <v>0</v>
      </c>
    </row>
    <row r="23" spans="1:25" ht="16.5" x14ac:dyDescent="0.35">
      <c r="A23" s="33" t="s">
        <v>70</v>
      </c>
      <c r="B23" s="26">
        <v>0</v>
      </c>
      <c r="C23" s="27">
        <v>0</v>
      </c>
      <c r="D23" s="26">
        <v>0</v>
      </c>
      <c r="E23" s="27">
        <v>0</v>
      </c>
      <c r="F23" s="26">
        <v>0</v>
      </c>
      <c r="G23" s="27">
        <v>0</v>
      </c>
      <c r="H23" s="26">
        <v>0</v>
      </c>
      <c r="I23" s="27">
        <v>2880</v>
      </c>
      <c r="J23" s="26">
        <v>0</v>
      </c>
      <c r="K23" s="27">
        <v>1440</v>
      </c>
      <c r="L23" s="26">
        <v>1440</v>
      </c>
      <c r="M23" s="27">
        <v>1440</v>
      </c>
      <c r="N23" s="26">
        <v>1440</v>
      </c>
      <c r="O23" s="27">
        <v>1440</v>
      </c>
      <c r="P23" s="26">
        <v>1440</v>
      </c>
      <c r="Q23" s="27">
        <v>1440</v>
      </c>
      <c r="R23" s="26">
        <v>1440</v>
      </c>
      <c r="S23" s="27">
        <v>1440</v>
      </c>
      <c r="T23" s="26">
        <v>1440</v>
      </c>
      <c r="U23" s="27">
        <v>1440</v>
      </c>
      <c r="V23" s="26">
        <v>1440</v>
      </c>
      <c r="W23" s="27">
        <v>1440</v>
      </c>
      <c r="X23" s="26">
        <v>1440</v>
      </c>
      <c r="Y23" s="27">
        <v>0</v>
      </c>
    </row>
    <row r="24" spans="1:25" ht="16.5" x14ac:dyDescent="0.35">
      <c r="A24" s="33" t="s">
        <v>11</v>
      </c>
      <c r="B24" s="26">
        <v>0</v>
      </c>
      <c r="C24" s="27">
        <v>60</v>
      </c>
      <c r="D24" s="26">
        <v>0</v>
      </c>
      <c r="E24" s="27">
        <v>0</v>
      </c>
      <c r="F24" s="26">
        <v>0</v>
      </c>
      <c r="G24" s="27">
        <v>0</v>
      </c>
      <c r="H24" s="26">
        <v>0</v>
      </c>
      <c r="I24" s="27">
        <v>120</v>
      </c>
      <c r="J24" s="26">
        <v>0</v>
      </c>
      <c r="K24" s="27">
        <v>0</v>
      </c>
      <c r="L24" s="26">
        <v>0</v>
      </c>
      <c r="M24" s="27">
        <v>0</v>
      </c>
      <c r="N24" s="26">
        <v>0</v>
      </c>
      <c r="O24" s="27">
        <v>0</v>
      </c>
      <c r="P24" s="26">
        <v>0</v>
      </c>
      <c r="Q24" s="27">
        <v>0</v>
      </c>
      <c r="R24" s="26">
        <v>0</v>
      </c>
      <c r="S24" s="27">
        <v>120</v>
      </c>
      <c r="T24" s="26">
        <v>0</v>
      </c>
      <c r="U24" s="27">
        <v>0</v>
      </c>
      <c r="V24" s="26">
        <v>0</v>
      </c>
      <c r="W24" s="27">
        <v>0</v>
      </c>
      <c r="X24" s="26">
        <v>0</v>
      </c>
      <c r="Y24" s="27">
        <v>0</v>
      </c>
    </row>
    <row r="25" spans="1:25" ht="16.5" x14ac:dyDescent="0.35">
      <c r="A25" s="33" t="s">
        <v>12</v>
      </c>
      <c r="B25" s="26">
        <v>0</v>
      </c>
      <c r="C25" s="27">
        <v>60</v>
      </c>
      <c r="D25" s="26">
        <v>0</v>
      </c>
      <c r="E25" s="27">
        <v>60</v>
      </c>
      <c r="F25" s="26">
        <v>0</v>
      </c>
      <c r="G25" s="27">
        <v>60</v>
      </c>
      <c r="H25" s="26">
        <v>0</v>
      </c>
      <c r="I25" s="27">
        <v>60</v>
      </c>
      <c r="J25" s="26">
        <v>0</v>
      </c>
      <c r="K25" s="27">
        <v>60</v>
      </c>
      <c r="L25" s="26">
        <v>60</v>
      </c>
      <c r="M25" s="27">
        <v>60</v>
      </c>
      <c r="N25" s="26">
        <v>60</v>
      </c>
      <c r="O25" s="27">
        <v>60</v>
      </c>
      <c r="P25" s="26">
        <v>60</v>
      </c>
      <c r="Q25" s="27">
        <v>60</v>
      </c>
      <c r="R25" s="26">
        <v>60</v>
      </c>
      <c r="S25" s="27">
        <v>60</v>
      </c>
      <c r="T25" s="26">
        <v>60</v>
      </c>
      <c r="U25" s="27">
        <v>60</v>
      </c>
      <c r="V25" s="26">
        <v>60</v>
      </c>
      <c r="W25" s="27">
        <v>60</v>
      </c>
      <c r="X25" s="26">
        <v>60</v>
      </c>
      <c r="Y25" s="27">
        <v>0</v>
      </c>
    </row>
    <row r="26" spans="1:25" ht="16.5" x14ac:dyDescent="0.35">
      <c r="A26" s="33" t="s">
        <v>13</v>
      </c>
      <c r="B26" s="26">
        <v>0</v>
      </c>
      <c r="C26" s="27">
        <v>0</v>
      </c>
      <c r="D26" s="26">
        <v>0</v>
      </c>
      <c r="E26" s="27">
        <v>180</v>
      </c>
      <c r="F26" s="26">
        <v>0</v>
      </c>
      <c r="G26" s="27">
        <v>180</v>
      </c>
      <c r="H26" s="26">
        <v>0</v>
      </c>
      <c r="I26" s="27">
        <v>180</v>
      </c>
      <c r="J26" s="26">
        <v>0</v>
      </c>
      <c r="K26" s="27">
        <v>180</v>
      </c>
      <c r="L26" s="26">
        <v>180</v>
      </c>
      <c r="M26" s="27">
        <v>180</v>
      </c>
      <c r="N26" s="26">
        <v>180</v>
      </c>
      <c r="O26" s="27">
        <v>180</v>
      </c>
      <c r="P26" s="26">
        <v>180</v>
      </c>
      <c r="Q26" s="27">
        <v>180</v>
      </c>
      <c r="R26" s="26">
        <v>180</v>
      </c>
      <c r="S26" s="27">
        <v>180</v>
      </c>
      <c r="T26" s="26">
        <v>180</v>
      </c>
      <c r="U26" s="27">
        <v>180</v>
      </c>
      <c r="V26" s="26">
        <v>180</v>
      </c>
      <c r="W26" s="27">
        <v>180</v>
      </c>
      <c r="X26" s="26">
        <v>180</v>
      </c>
      <c r="Y26" s="27">
        <v>0</v>
      </c>
    </row>
    <row r="27" spans="1:25" ht="16.5" x14ac:dyDescent="0.35">
      <c r="A27" s="33" t="s">
        <v>65</v>
      </c>
      <c r="B27" s="26">
        <v>0</v>
      </c>
      <c r="C27" s="27">
        <v>0</v>
      </c>
      <c r="D27" s="26">
        <v>0</v>
      </c>
      <c r="E27" s="27">
        <v>180</v>
      </c>
      <c r="F27" s="26">
        <v>0</v>
      </c>
      <c r="G27" s="27">
        <v>300</v>
      </c>
      <c r="H27" s="26">
        <v>0</v>
      </c>
      <c r="I27" s="27">
        <v>300</v>
      </c>
      <c r="J27" s="26">
        <v>0</v>
      </c>
      <c r="K27" s="27">
        <v>360</v>
      </c>
      <c r="L27" s="26">
        <v>360</v>
      </c>
      <c r="M27" s="27">
        <v>120</v>
      </c>
      <c r="N27" s="26">
        <v>120</v>
      </c>
      <c r="O27" s="27">
        <v>120</v>
      </c>
      <c r="P27" s="26">
        <v>120</v>
      </c>
      <c r="Q27" s="27">
        <v>120</v>
      </c>
      <c r="R27" s="26">
        <v>120</v>
      </c>
      <c r="S27" s="27">
        <v>120</v>
      </c>
      <c r="T27" s="26">
        <v>0</v>
      </c>
      <c r="U27" s="27">
        <v>180</v>
      </c>
      <c r="V27" s="26">
        <v>0</v>
      </c>
      <c r="W27" s="27">
        <v>120</v>
      </c>
      <c r="X27" s="26">
        <v>0</v>
      </c>
      <c r="Y27" s="27">
        <v>0</v>
      </c>
    </row>
    <row r="28" spans="1:25" ht="16.5" x14ac:dyDescent="0.35">
      <c r="A28" s="33" t="s">
        <v>76</v>
      </c>
      <c r="B28" s="26">
        <v>0</v>
      </c>
      <c r="C28" s="27">
        <v>0</v>
      </c>
      <c r="D28" s="26">
        <v>0</v>
      </c>
      <c r="E28" s="27">
        <v>0</v>
      </c>
      <c r="F28" s="26">
        <v>0</v>
      </c>
      <c r="G28" s="27">
        <v>0</v>
      </c>
      <c r="H28" s="26">
        <v>0</v>
      </c>
      <c r="I28" s="27">
        <v>0</v>
      </c>
      <c r="J28" s="26">
        <v>0</v>
      </c>
      <c r="K28" s="27">
        <v>0</v>
      </c>
      <c r="L28" s="26">
        <v>0</v>
      </c>
      <c r="M28" s="27">
        <v>0</v>
      </c>
      <c r="N28" s="26">
        <v>0</v>
      </c>
      <c r="O28" s="27">
        <v>0</v>
      </c>
      <c r="P28" s="26">
        <v>0</v>
      </c>
      <c r="Q28" s="27">
        <v>0</v>
      </c>
      <c r="R28" s="26">
        <v>0</v>
      </c>
      <c r="S28" s="27">
        <v>0</v>
      </c>
      <c r="T28" s="26">
        <v>0</v>
      </c>
      <c r="U28" s="27">
        <v>0</v>
      </c>
      <c r="V28" s="26">
        <v>0</v>
      </c>
      <c r="W28" s="27">
        <v>0</v>
      </c>
      <c r="X28" s="26">
        <v>0</v>
      </c>
      <c r="Y28" s="27">
        <v>0</v>
      </c>
    </row>
    <row r="29" spans="1:25" ht="16.5" x14ac:dyDescent="0.35">
      <c r="A29" s="33" t="s">
        <v>77</v>
      </c>
      <c r="B29" s="26">
        <v>0</v>
      </c>
      <c r="C29" s="27">
        <v>0</v>
      </c>
      <c r="D29" s="26">
        <v>0</v>
      </c>
      <c r="E29" s="27">
        <v>0</v>
      </c>
      <c r="F29" s="26">
        <v>0</v>
      </c>
      <c r="G29" s="27">
        <v>0</v>
      </c>
      <c r="H29" s="26">
        <v>0</v>
      </c>
      <c r="I29" s="27">
        <v>210</v>
      </c>
      <c r="J29" s="26">
        <v>0</v>
      </c>
      <c r="K29" s="27">
        <v>0</v>
      </c>
      <c r="L29" s="26">
        <v>0</v>
      </c>
      <c r="M29" s="27">
        <v>0</v>
      </c>
      <c r="N29" s="26">
        <v>0</v>
      </c>
      <c r="O29" s="27">
        <v>0</v>
      </c>
      <c r="P29" s="26">
        <v>0</v>
      </c>
      <c r="Q29" s="27">
        <v>0</v>
      </c>
      <c r="R29" s="26">
        <v>0</v>
      </c>
      <c r="S29" s="27">
        <v>0</v>
      </c>
      <c r="T29" s="26">
        <v>0</v>
      </c>
      <c r="U29" s="27">
        <v>0</v>
      </c>
      <c r="V29" s="26">
        <v>0</v>
      </c>
      <c r="W29" s="27">
        <v>0</v>
      </c>
      <c r="X29" s="26">
        <v>0</v>
      </c>
      <c r="Y29" s="27">
        <v>0</v>
      </c>
    </row>
    <row r="30" spans="1:25" ht="16.5" x14ac:dyDescent="0.35">
      <c r="A30" s="33" t="s">
        <v>14</v>
      </c>
      <c r="B30" s="26">
        <v>0</v>
      </c>
      <c r="C30" s="27">
        <v>120</v>
      </c>
      <c r="D30" s="26">
        <v>0</v>
      </c>
      <c r="E30" s="27">
        <v>120</v>
      </c>
      <c r="F30" s="26">
        <v>0</v>
      </c>
      <c r="G30" s="27">
        <v>120</v>
      </c>
      <c r="H30" s="26">
        <v>0</v>
      </c>
      <c r="I30" s="27">
        <v>120</v>
      </c>
      <c r="J30" s="26">
        <v>0</v>
      </c>
      <c r="K30" s="27">
        <v>120</v>
      </c>
      <c r="L30" s="26">
        <v>120</v>
      </c>
      <c r="M30" s="27">
        <v>120</v>
      </c>
      <c r="N30" s="26">
        <v>120</v>
      </c>
      <c r="O30" s="27">
        <v>120</v>
      </c>
      <c r="P30" s="26">
        <v>120</v>
      </c>
      <c r="Q30" s="27">
        <v>120</v>
      </c>
      <c r="R30" s="26">
        <v>120</v>
      </c>
      <c r="S30" s="27">
        <v>120</v>
      </c>
      <c r="T30" s="26">
        <v>120</v>
      </c>
      <c r="U30" s="27">
        <v>120</v>
      </c>
      <c r="V30" s="26">
        <v>120</v>
      </c>
      <c r="W30" s="27">
        <v>120</v>
      </c>
      <c r="X30" s="26">
        <v>120</v>
      </c>
      <c r="Y30" s="27">
        <v>0</v>
      </c>
    </row>
    <row r="31" spans="1:25" ht="17.5" x14ac:dyDescent="0.35">
      <c r="A31" s="15" t="s">
        <v>15</v>
      </c>
      <c r="B31" s="24">
        <f>SUM(B32:B36)</f>
        <v>0</v>
      </c>
      <c r="C31" s="25">
        <f t="shared" ref="C31" si="11">SUM(C32:C36)</f>
        <v>3540</v>
      </c>
      <c r="D31" s="24">
        <f t="shared" ref="D31:E31" si="12">SUM(D32:D36)</f>
        <v>0</v>
      </c>
      <c r="E31" s="25">
        <f t="shared" si="12"/>
        <v>3540</v>
      </c>
      <c r="F31" s="24">
        <f t="shared" ref="F31:G31" si="13">SUM(F32:F36)</f>
        <v>0</v>
      </c>
      <c r="G31" s="25">
        <f t="shared" si="13"/>
        <v>3540</v>
      </c>
      <c r="H31" s="24">
        <f t="shared" ref="H31:Y31" si="14">SUM(H32:H36)</f>
        <v>0</v>
      </c>
      <c r="I31" s="25">
        <f t="shared" si="14"/>
        <v>6200</v>
      </c>
      <c r="J31" s="24">
        <f t="shared" si="14"/>
        <v>0</v>
      </c>
      <c r="K31" s="25">
        <f t="shared" si="14"/>
        <v>6200</v>
      </c>
      <c r="L31" s="24">
        <f t="shared" si="14"/>
        <v>6200</v>
      </c>
      <c r="M31" s="25">
        <f t="shared" si="14"/>
        <v>6200</v>
      </c>
      <c r="N31" s="24">
        <f t="shared" si="14"/>
        <v>6200</v>
      </c>
      <c r="O31" s="25">
        <f t="shared" si="14"/>
        <v>6200</v>
      </c>
      <c r="P31" s="24">
        <f t="shared" si="14"/>
        <v>2700</v>
      </c>
      <c r="Q31" s="25">
        <f t="shared" si="14"/>
        <v>6200</v>
      </c>
      <c r="R31" s="24">
        <f t="shared" si="14"/>
        <v>2700</v>
      </c>
      <c r="S31" s="25">
        <f t="shared" si="14"/>
        <v>9140</v>
      </c>
      <c r="T31" s="24">
        <f t="shared" si="14"/>
        <v>2700</v>
      </c>
      <c r="U31" s="25">
        <f t="shared" si="14"/>
        <v>9140</v>
      </c>
      <c r="V31" s="24">
        <f t="shared" si="14"/>
        <v>2700</v>
      </c>
      <c r="W31" s="25">
        <f t="shared" si="14"/>
        <v>9140</v>
      </c>
      <c r="X31" s="24">
        <f t="shared" si="14"/>
        <v>2700</v>
      </c>
      <c r="Y31" s="25">
        <f t="shared" si="14"/>
        <v>0</v>
      </c>
    </row>
    <row r="32" spans="1:25" ht="16.5" x14ac:dyDescent="0.35">
      <c r="A32" s="33" t="s">
        <v>16</v>
      </c>
      <c r="B32" s="26">
        <v>0</v>
      </c>
      <c r="C32" s="27">
        <v>2000</v>
      </c>
      <c r="D32" s="26">
        <v>0</v>
      </c>
      <c r="E32" s="27">
        <v>2000</v>
      </c>
      <c r="F32" s="26">
        <v>0</v>
      </c>
      <c r="G32" s="27">
        <v>2000</v>
      </c>
      <c r="H32" s="26">
        <v>0</v>
      </c>
      <c r="I32" s="27">
        <v>2000</v>
      </c>
      <c r="J32" s="26">
        <v>0</v>
      </c>
      <c r="K32" s="27">
        <v>2000</v>
      </c>
      <c r="L32" s="26">
        <v>2000</v>
      </c>
      <c r="M32" s="27">
        <v>2000</v>
      </c>
      <c r="N32" s="26">
        <v>2000</v>
      </c>
      <c r="O32" s="27">
        <v>2000</v>
      </c>
      <c r="P32" s="26">
        <v>2000</v>
      </c>
      <c r="Q32" s="27">
        <v>2000</v>
      </c>
      <c r="R32" s="26">
        <v>2000</v>
      </c>
      <c r="S32" s="27">
        <v>2000</v>
      </c>
      <c r="T32" s="26">
        <v>2000</v>
      </c>
      <c r="U32" s="27">
        <v>2000</v>
      </c>
      <c r="V32" s="26">
        <v>2000</v>
      </c>
      <c r="W32" s="27">
        <v>2000</v>
      </c>
      <c r="X32" s="26">
        <v>2000</v>
      </c>
      <c r="Y32" s="27">
        <v>0</v>
      </c>
    </row>
    <row r="33" spans="1:25" ht="16.5" x14ac:dyDescent="0.35">
      <c r="A33" s="33" t="s">
        <v>17</v>
      </c>
      <c r="B33" s="26">
        <v>0</v>
      </c>
      <c r="C33" s="27">
        <v>700</v>
      </c>
      <c r="D33" s="26">
        <v>0</v>
      </c>
      <c r="E33" s="27">
        <v>700</v>
      </c>
      <c r="F33" s="26">
        <v>0</v>
      </c>
      <c r="G33" s="27">
        <v>700</v>
      </c>
      <c r="H33" s="26">
        <v>0</v>
      </c>
      <c r="I33" s="27">
        <v>700</v>
      </c>
      <c r="J33" s="26">
        <v>0</v>
      </c>
      <c r="K33" s="27">
        <v>700</v>
      </c>
      <c r="L33" s="26">
        <v>700</v>
      </c>
      <c r="M33" s="27">
        <v>700</v>
      </c>
      <c r="N33" s="26">
        <v>700</v>
      </c>
      <c r="O33" s="27">
        <v>700</v>
      </c>
      <c r="P33" s="26">
        <v>700</v>
      </c>
      <c r="Q33" s="27">
        <v>700</v>
      </c>
      <c r="R33" s="26">
        <v>700</v>
      </c>
      <c r="S33" s="27">
        <v>700</v>
      </c>
      <c r="T33" s="26">
        <v>700</v>
      </c>
      <c r="U33" s="27">
        <v>700</v>
      </c>
      <c r="V33" s="26">
        <v>700</v>
      </c>
      <c r="W33" s="27">
        <v>700</v>
      </c>
      <c r="X33" s="26">
        <v>700</v>
      </c>
      <c r="Y33" s="27">
        <v>0</v>
      </c>
    </row>
    <row r="34" spans="1:25" ht="16.5" x14ac:dyDescent="0.35">
      <c r="A34" s="33" t="s">
        <v>18</v>
      </c>
      <c r="B34" s="26">
        <v>0</v>
      </c>
      <c r="C34" s="27">
        <v>462</v>
      </c>
      <c r="D34" s="26">
        <v>0</v>
      </c>
      <c r="E34" s="27">
        <v>462</v>
      </c>
      <c r="F34" s="26">
        <v>0</v>
      </c>
      <c r="G34" s="27">
        <v>462</v>
      </c>
      <c r="H34" s="26">
        <v>0</v>
      </c>
      <c r="I34" s="27">
        <v>1925</v>
      </c>
      <c r="J34" s="26">
        <v>0</v>
      </c>
      <c r="K34" s="27">
        <v>1925</v>
      </c>
      <c r="L34" s="26">
        <v>1925</v>
      </c>
      <c r="M34" s="27">
        <v>1925</v>
      </c>
      <c r="N34" s="26">
        <v>1925</v>
      </c>
      <c r="O34" s="27">
        <v>1925</v>
      </c>
      <c r="P34" s="26">
        <v>0</v>
      </c>
      <c r="Q34" s="27">
        <v>1925</v>
      </c>
      <c r="R34" s="26">
        <v>0</v>
      </c>
      <c r="S34" s="27">
        <v>3542</v>
      </c>
      <c r="T34" s="26">
        <v>0</v>
      </c>
      <c r="U34" s="27">
        <v>3542</v>
      </c>
      <c r="V34" s="26">
        <v>0</v>
      </c>
      <c r="W34" s="27">
        <v>3542</v>
      </c>
      <c r="X34" s="26">
        <v>0</v>
      </c>
      <c r="Y34" s="27">
        <v>0</v>
      </c>
    </row>
    <row r="35" spans="1:25" ht="16.5" x14ac:dyDescent="0.35">
      <c r="A35" s="33" t="s">
        <v>19</v>
      </c>
      <c r="B35" s="26">
        <v>0</v>
      </c>
      <c r="C35" s="27">
        <v>138</v>
      </c>
      <c r="D35" s="26">
        <v>0</v>
      </c>
      <c r="E35" s="27">
        <v>138</v>
      </c>
      <c r="F35" s="26">
        <v>0</v>
      </c>
      <c r="G35" s="27">
        <v>138</v>
      </c>
      <c r="H35" s="26">
        <v>0</v>
      </c>
      <c r="I35" s="27">
        <v>575</v>
      </c>
      <c r="J35" s="26">
        <v>0</v>
      </c>
      <c r="K35" s="27">
        <v>575</v>
      </c>
      <c r="L35" s="26">
        <v>575</v>
      </c>
      <c r="M35" s="27">
        <v>575</v>
      </c>
      <c r="N35" s="26">
        <v>575</v>
      </c>
      <c r="O35" s="27">
        <v>575</v>
      </c>
      <c r="P35" s="26">
        <v>0</v>
      </c>
      <c r="Q35" s="27">
        <v>575</v>
      </c>
      <c r="R35" s="26">
        <v>0</v>
      </c>
      <c r="S35" s="27">
        <v>1058</v>
      </c>
      <c r="T35" s="26">
        <v>0</v>
      </c>
      <c r="U35" s="27">
        <v>1058</v>
      </c>
      <c r="V35" s="26">
        <v>0</v>
      </c>
      <c r="W35" s="27">
        <v>1058</v>
      </c>
      <c r="X35" s="26">
        <v>0</v>
      </c>
      <c r="Y35" s="27">
        <v>0</v>
      </c>
    </row>
    <row r="36" spans="1:25" ht="16.5" x14ac:dyDescent="0.35">
      <c r="A36" s="33" t="s">
        <v>20</v>
      </c>
      <c r="B36" s="26">
        <v>0</v>
      </c>
      <c r="C36" s="27">
        <v>240</v>
      </c>
      <c r="D36" s="26">
        <v>0</v>
      </c>
      <c r="E36" s="27">
        <v>240</v>
      </c>
      <c r="F36" s="26">
        <v>0</v>
      </c>
      <c r="G36" s="27">
        <v>240</v>
      </c>
      <c r="H36" s="26">
        <v>0</v>
      </c>
      <c r="I36" s="27">
        <v>1000</v>
      </c>
      <c r="J36" s="26">
        <v>0</v>
      </c>
      <c r="K36" s="27">
        <v>1000</v>
      </c>
      <c r="L36" s="26">
        <v>1000</v>
      </c>
      <c r="M36" s="27">
        <v>1000</v>
      </c>
      <c r="N36" s="26">
        <v>1000</v>
      </c>
      <c r="O36" s="27">
        <v>1000</v>
      </c>
      <c r="P36" s="26">
        <v>0</v>
      </c>
      <c r="Q36" s="27">
        <v>1000</v>
      </c>
      <c r="R36" s="26">
        <v>0</v>
      </c>
      <c r="S36" s="27">
        <v>1840</v>
      </c>
      <c r="T36" s="26">
        <v>0</v>
      </c>
      <c r="U36" s="27">
        <v>1840</v>
      </c>
      <c r="V36" s="26">
        <v>0</v>
      </c>
      <c r="W36" s="27">
        <v>1840</v>
      </c>
      <c r="X36" s="26">
        <v>0</v>
      </c>
      <c r="Y36" s="27">
        <v>0</v>
      </c>
    </row>
    <row r="37" spans="1:25" ht="17.5" x14ac:dyDescent="0.35">
      <c r="A37" s="15" t="s">
        <v>43</v>
      </c>
      <c r="B37" s="26">
        <v>0</v>
      </c>
      <c r="C37" s="27">
        <v>0</v>
      </c>
      <c r="D37" s="26">
        <v>0</v>
      </c>
      <c r="E37" s="27">
        <v>0</v>
      </c>
      <c r="F37" s="26">
        <v>0</v>
      </c>
      <c r="G37" s="27">
        <v>0</v>
      </c>
      <c r="H37" s="26">
        <v>0</v>
      </c>
      <c r="I37" s="27">
        <v>107.82</v>
      </c>
      <c r="J37" s="26">
        <v>0</v>
      </c>
      <c r="K37" s="27">
        <v>107.82</v>
      </c>
      <c r="L37" s="26">
        <v>107.82</v>
      </c>
      <c r="M37" s="27">
        <v>107.82</v>
      </c>
      <c r="N37" s="26">
        <v>107.82</v>
      </c>
      <c r="O37" s="27">
        <v>107.82</v>
      </c>
      <c r="P37" s="26">
        <v>107.82</v>
      </c>
      <c r="Q37" s="27">
        <v>107.82</v>
      </c>
      <c r="R37" s="26">
        <v>107.82</v>
      </c>
      <c r="S37" s="27">
        <v>107.82</v>
      </c>
      <c r="T37" s="26">
        <v>107.82</v>
      </c>
      <c r="U37" s="27">
        <v>107.82</v>
      </c>
      <c r="V37" s="26">
        <v>107.82</v>
      </c>
      <c r="W37" s="27">
        <v>107.82</v>
      </c>
      <c r="X37" s="26">
        <v>107.82</v>
      </c>
      <c r="Y37" s="27">
        <v>0</v>
      </c>
    </row>
    <row r="38" spans="1:25" ht="17.5" x14ac:dyDescent="0.35">
      <c r="A38" s="15" t="s">
        <v>26</v>
      </c>
      <c r="B38" s="26">
        <v>0</v>
      </c>
      <c r="C38" s="27">
        <v>0</v>
      </c>
      <c r="D38" s="26">
        <v>0</v>
      </c>
      <c r="E38" s="27">
        <v>0</v>
      </c>
      <c r="F38" s="26">
        <v>0</v>
      </c>
      <c r="G38" s="27">
        <v>0</v>
      </c>
      <c r="H38" s="26">
        <v>0</v>
      </c>
      <c r="I38" s="27">
        <v>0</v>
      </c>
      <c r="J38" s="26">
        <v>0</v>
      </c>
      <c r="K38" s="27">
        <v>0</v>
      </c>
      <c r="L38" s="26">
        <v>0</v>
      </c>
      <c r="M38" s="27">
        <v>0</v>
      </c>
      <c r="N38" s="26">
        <v>0</v>
      </c>
      <c r="O38" s="27">
        <v>0</v>
      </c>
      <c r="P38" s="26">
        <v>0</v>
      </c>
      <c r="Q38" s="27">
        <v>0</v>
      </c>
      <c r="R38" s="26">
        <v>0</v>
      </c>
      <c r="S38" s="27">
        <v>0</v>
      </c>
      <c r="T38" s="26">
        <v>0</v>
      </c>
      <c r="U38" s="27">
        <v>0</v>
      </c>
      <c r="V38" s="26">
        <v>0</v>
      </c>
      <c r="W38" s="27">
        <v>0</v>
      </c>
      <c r="X38" s="26">
        <v>0</v>
      </c>
      <c r="Y38" s="27">
        <v>0</v>
      </c>
    </row>
    <row r="39" spans="1:25" ht="17.5" x14ac:dyDescent="0.35">
      <c r="A39" s="15" t="s">
        <v>44</v>
      </c>
      <c r="B39" s="26">
        <v>0</v>
      </c>
      <c r="C39" s="27">
        <v>0</v>
      </c>
      <c r="D39" s="26">
        <v>0</v>
      </c>
      <c r="E39" s="27">
        <v>492.8</v>
      </c>
      <c r="F39" s="26">
        <v>0</v>
      </c>
      <c r="G39" s="27">
        <v>18.8</v>
      </c>
      <c r="H39" s="26">
        <v>0</v>
      </c>
      <c r="I39" s="27">
        <v>768.4</v>
      </c>
      <c r="J39" s="26">
        <v>0</v>
      </c>
      <c r="K39" s="27">
        <v>459.5</v>
      </c>
      <c r="L39" s="26">
        <v>0</v>
      </c>
      <c r="M39" s="27">
        <v>1585.1</v>
      </c>
      <c r="N39" s="26">
        <v>1774</v>
      </c>
      <c r="O39" s="27">
        <v>1774</v>
      </c>
      <c r="P39" s="26">
        <v>1415.2</v>
      </c>
      <c r="Q39" s="27">
        <v>1415.2</v>
      </c>
      <c r="R39" s="26">
        <v>1925.4</v>
      </c>
      <c r="S39" s="27">
        <v>1952.4</v>
      </c>
      <c r="T39" s="26">
        <v>0</v>
      </c>
      <c r="U39" s="27">
        <v>2598.4</v>
      </c>
      <c r="V39" s="26">
        <v>0</v>
      </c>
      <c r="W39" s="27">
        <v>1791.8</v>
      </c>
      <c r="X39" s="26">
        <v>0</v>
      </c>
      <c r="Y39" s="27">
        <v>0</v>
      </c>
    </row>
    <row r="40" spans="1:25" ht="6" customHeight="1" x14ac:dyDescent="0.35">
      <c r="A40" s="14"/>
      <c r="B40" s="28"/>
      <c r="C40" s="29"/>
      <c r="D40" s="28"/>
      <c r="E40" s="29"/>
      <c r="F40" s="28"/>
      <c r="G40" s="29"/>
      <c r="H40" s="28"/>
      <c r="I40" s="29"/>
      <c r="J40" s="28"/>
      <c r="K40" s="29"/>
      <c r="L40" s="28"/>
      <c r="M40" s="29"/>
      <c r="N40" s="28"/>
      <c r="O40" s="29"/>
      <c r="P40" s="28"/>
      <c r="Q40" s="29"/>
      <c r="R40" s="28"/>
      <c r="S40" s="29"/>
      <c r="T40" s="28"/>
      <c r="U40" s="29"/>
      <c r="V40" s="28"/>
      <c r="W40" s="29"/>
      <c r="X40" s="28"/>
      <c r="Y40" s="29"/>
    </row>
    <row r="41" spans="1:25" ht="17.5" x14ac:dyDescent="0.35">
      <c r="A41" s="12" t="s">
        <v>45</v>
      </c>
      <c r="B41" s="24">
        <v>0</v>
      </c>
      <c r="C41" s="25">
        <v>8000</v>
      </c>
      <c r="D41" s="24">
        <f>C45</f>
        <v>7776.7999999999993</v>
      </c>
      <c r="E41" s="25">
        <f>C45</f>
        <v>7776.7999999999993</v>
      </c>
      <c r="F41" s="24">
        <f>E45</f>
        <v>3976.7999999999993</v>
      </c>
      <c r="G41" s="25">
        <f>E45</f>
        <v>3976.7999999999993</v>
      </c>
      <c r="H41" s="24">
        <f>G45</f>
        <v>5028.3999999999987</v>
      </c>
      <c r="I41" s="25">
        <f>G45</f>
        <v>5028.3999999999987</v>
      </c>
      <c r="J41" s="24">
        <f>I45</f>
        <v>1185.1799999999985</v>
      </c>
      <c r="K41" s="25">
        <f>I45</f>
        <v>1185.1799999999985</v>
      </c>
      <c r="L41" s="24">
        <f>K45</f>
        <v>2176.4599999999991</v>
      </c>
      <c r="M41" s="25">
        <f>K45</f>
        <v>2176.4599999999991</v>
      </c>
      <c r="N41" s="24">
        <f>M45</f>
        <v>4807.5399999999991</v>
      </c>
      <c r="O41" s="25">
        <f>M45</f>
        <v>4807.5399999999991</v>
      </c>
      <c r="P41" s="24">
        <f>O45</f>
        <v>6950.9200000000019</v>
      </c>
      <c r="Q41" s="25">
        <f>O45</f>
        <v>6950.9200000000019</v>
      </c>
      <c r="R41" s="24">
        <f>Q45</f>
        <v>10595.5</v>
      </c>
      <c r="S41" s="25">
        <f>Q45</f>
        <v>10595.5</v>
      </c>
      <c r="T41" s="24">
        <f>S45</f>
        <v>14047.279999999999</v>
      </c>
      <c r="U41" s="25">
        <f>S45</f>
        <v>14047.279999999999</v>
      </c>
      <c r="V41" s="24">
        <f>U45</f>
        <v>12623.060000000001</v>
      </c>
      <c r="W41" s="25">
        <f>U45</f>
        <v>12623.060000000001</v>
      </c>
      <c r="X41" s="24">
        <f>W45</f>
        <v>14527.84</v>
      </c>
      <c r="Y41" s="25">
        <f>W45</f>
        <v>14527.84</v>
      </c>
    </row>
    <row r="42" spans="1:25" ht="17.5" x14ac:dyDescent="0.35">
      <c r="A42" s="15" t="s">
        <v>35</v>
      </c>
      <c r="B42" s="24">
        <f t="shared" ref="B42:Y42" si="15">B3</f>
        <v>0</v>
      </c>
      <c r="C42" s="25">
        <f t="shared" si="15"/>
        <v>5654.4</v>
      </c>
      <c r="D42" s="24">
        <f t="shared" si="15"/>
        <v>0</v>
      </c>
      <c r="E42" s="25">
        <f t="shared" si="15"/>
        <v>5654.4</v>
      </c>
      <c r="F42" s="24">
        <f t="shared" si="15"/>
        <v>0</v>
      </c>
      <c r="G42" s="25">
        <f t="shared" si="15"/>
        <v>6432</v>
      </c>
      <c r="H42" s="24">
        <f t="shared" si="15"/>
        <v>0</v>
      </c>
      <c r="I42" s="25">
        <f t="shared" si="15"/>
        <v>12008</v>
      </c>
      <c r="J42" s="24">
        <f t="shared" si="15"/>
        <v>0</v>
      </c>
      <c r="K42" s="25">
        <f t="shared" si="15"/>
        <v>12264</v>
      </c>
      <c r="L42" s="24">
        <f t="shared" si="15"/>
        <v>15640</v>
      </c>
      <c r="M42" s="25">
        <f t="shared" si="15"/>
        <v>14472</v>
      </c>
      <c r="N42" s="24">
        <f t="shared" si="15"/>
        <v>28216</v>
      </c>
      <c r="O42" s="25">
        <f t="shared" si="15"/>
        <v>22190.400000000001</v>
      </c>
      <c r="P42" s="24">
        <f t="shared" si="15"/>
        <v>5202</v>
      </c>
      <c r="Q42" s="25">
        <f t="shared" si="15"/>
        <v>20475.599999999999</v>
      </c>
      <c r="R42" s="24">
        <f t="shared" si="15"/>
        <v>5548.8</v>
      </c>
      <c r="S42" s="25">
        <f t="shared" si="15"/>
        <v>24948</v>
      </c>
      <c r="T42" s="24">
        <f t="shared" si="15"/>
        <v>6547.2</v>
      </c>
      <c r="U42" s="25">
        <f t="shared" si="15"/>
        <v>27496.800000000003</v>
      </c>
      <c r="V42" s="24">
        <f t="shared" si="15"/>
        <v>0</v>
      </c>
      <c r="W42" s="25">
        <f t="shared" si="15"/>
        <v>28132.799999999999</v>
      </c>
      <c r="X42" s="24">
        <f t="shared" si="15"/>
        <v>7296</v>
      </c>
      <c r="Y42" s="25">
        <f t="shared" si="15"/>
        <v>0</v>
      </c>
    </row>
    <row r="43" spans="1:25" ht="17.5" x14ac:dyDescent="0.35">
      <c r="A43" s="15" t="s">
        <v>42</v>
      </c>
      <c r="B43" s="24">
        <f t="shared" ref="B43:Y43" si="16">B12</f>
        <v>0</v>
      </c>
      <c r="C43" s="25">
        <f t="shared" si="16"/>
        <v>5877.6</v>
      </c>
      <c r="D43" s="24">
        <f t="shared" si="16"/>
        <v>0</v>
      </c>
      <c r="E43" s="25">
        <f t="shared" si="16"/>
        <v>9454.4</v>
      </c>
      <c r="F43" s="24">
        <f t="shared" si="16"/>
        <v>0</v>
      </c>
      <c r="G43" s="25">
        <f t="shared" si="16"/>
        <v>5380.4000000000005</v>
      </c>
      <c r="H43" s="24">
        <f t="shared" si="16"/>
        <v>0</v>
      </c>
      <c r="I43" s="25">
        <f t="shared" si="16"/>
        <v>15851.22</v>
      </c>
      <c r="J43" s="24">
        <f t="shared" si="16"/>
        <v>0</v>
      </c>
      <c r="K43" s="25">
        <f t="shared" si="16"/>
        <v>11272.72</v>
      </c>
      <c r="L43" s="24">
        <f t="shared" si="16"/>
        <v>10572.82</v>
      </c>
      <c r="M43" s="25">
        <f t="shared" si="16"/>
        <v>11840.92</v>
      </c>
      <c r="N43" s="24">
        <f t="shared" si="16"/>
        <v>17841.82</v>
      </c>
      <c r="O43" s="25">
        <f t="shared" si="16"/>
        <v>20047.02</v>
      </c>
      <c r="P43" s="24">
        <f t="shared" si="16"/>
        <v>6503.0199999999995</v>
      </c>
      <c r="Q43" s="25">
        <f t="shared" si="16"/>
        <v>16831.02</v>
      </c>
      <c r="R43" s="24">
        <f t="shared" si="16"/>
        <v>8093.2199999999993</v>
      </c>
      <c r="S43" s="25">
        <f t="shared" si="16"/>
        <v>21496.22</v>
      </c>
      <c r="T43" s="24">
        <f t="shared" si="16"/>
        <v>6047.82</v>
      </c>
      <c r="U43" s="25">
        <f t="shared" si="16"/>
        <v>28921.02</v>
      </c>
      <c r="V43" s="24">
        <f t="shared" si="16"/>
        <v>4607.82</v>
      </c>
      <c r="W43" s="25">
        <f t="shared" si="16"/>
        <v>26228.02</v>
      </c>
      <c r="X43" s="24">
        <f t="shared" si="16"/>
        <v>4607.82</v>
      </c>
      <c r="Y43" s="25">
        <f t="shared" si="16"/>
        <v>0</v>
      </c>
    </row>
    <row r="44" spans="1:25" ht="6" customHeight="1" x14ac:dyDescent="0.35">
      <c r="A44" s="14"/>
      <c r="B44" s="28"/>
      <c r="C44" s="29"/>
      <c r="D44" s="28"/>
      <c r="E44" s="29"/>
      <c r="F44" s="28"/>
      <c r="G44" s="29"/>
      <c r="H44" s="28"/>
      <c r="I44" s="29"/>
      <c r="J44" s="28"/>
      <c r="K44" s="29"/>
      <c r="L44" s="28"/>
      <c r="M44" s="29"/>
      <c r="N44" s="28"/>
      <c r="O44" s="29"/>
      <c r="P44" s="28"/>
      <c r="Q44" s="29"/>
      <c r="R44" s="28"/>
      <c r="S44" s="29"/>
      <c r="T44" s="28"/>
      <c r="U44" s="29"/>
      <c r="V44" s="28"/>
      <c r="W44" s="29"/>
      <c r="X44" s="28"/>
      <c r="Y44" s="29"/>
    </row>
    <row r="45" spans="1:25" ht="17.5" x14ac:dyDescent="0.35">
      <c r="A45" s="12" t="s">
        <v>46</v>
      </c>
      <c r="B45" s="30">
        <f t="shared" ref="B45:Y45" si="17">B41+B42-B43</f>
        <v>0</v>
      </c>
      <c r="C45" s="31">
        <f t="shared" si="17"/>
        <v>7776.7999999999993</v>
      </c>
      <c r="D45" s="30">
        <f t="shared" si="17"/>
        <v>7776.7999999999993</v>
      </c>
      <c r="E45" s="31">
        <f t="shared" si="17"/>
        <v>3976.7999999999993</v>
      </c>
      <c r="F45" s="30">
        <f t="shared" si="17"/>
        <v>3976.7999999999993</v>
      </c>
      <c r="G45" s="31">
        <f t="shared" si="17"/>
        <v>5028.3999999999987</v>
      </c>
      <c r="H45" s="30">
        <f t="shared" si="17"/>
        <v>5028.3999999999987</v>
      </c>
      <c r="I45" s="31">
        <f t="shared" si="17"/>
        <v>1185.1799999999985</v>
      </c>
      <c r="J45" s="30">
        <f t="shared" si="17"/>
        <v>1185.1799999999985</v>
      </c>
      <c r="K45" s="31">
        <f t="shared" si="17"/>
        <v>2176.4599999999991</v>
      </c>
      <c r="L45" s="30">
        <f t="shared" si="17"/>
        <v>7243.6399999999994</v>
      </c>
      <c r="M45" s="31">
        <f t="shared" si="17"/>
        <v>4807.5399999999991</v>
      </c>
      <c r="N45" s="30">
        <f t="shared" si="17"/>
        <v>15181.720000000001</v>
      </c>
      <c r="O45" s="31">
        <f t="shared" si="17"/>
        <v>6950.9200000000019</v>
      </c>
      <c r="P45" s="30">
        <f t="shared" si="17"/>
        <v>5649.9000000000024</v>
      </c>
      <c r="Q45" s="31">
        <f t="shared" si="17"/>
        <v>10595.5</v>
      </c>
      <c r="R45" s="30">
        <f t="shared" si="17"/>
        <v>8051.08</v>
      </c>
      <c r="S45" s="31">
        <f t="shared" si="17"/>
        <v>14047.279999999999</v>
      </c>
      <c r="T45" s="30">
        <f t="shared" si="17"/>
        <v>14546.66</v>
      </c>
      <c r="U45" s="31">
        <f t="shared" si="17"/>
        <v>12623.060000000001</v>
      </c>
      <c r="V45" s="30">
        <f t="shared" si="17"/>
        <v>8015.2400000000016</v>
      </c>
      <c r="W45" s="31">
        <f t="shared" si="17"/>
        <v>14527.84</v>
      </c>
      <c r="X45" s="30">
        <f t="shared" si="17"/>
        <v>17216.02</v>
      </c>
      <c r="Y45" s="31">
        <f t="shared" si="17"/>
        <v>14527.84</v>
      </c>
    </row>
    <row r="46" spans="1:25" ht="18" thickBot="1" x14ac:dyDescent="0.4">
      <c r="A46" s="17" t="s">
        <v>33</v>
      </c>
      <c r="B46" s="37">
        <f>C45-B45</f>
        <v>7776.7999999999993</v>
      </c>
      <c r="C46" s="38"/>
      <c r="D46" s="37">
        <f>E45-D45</f>
        <v>-3800</v>
      </c>
      <c r="E46" s="38"/>
      <c r="F46" s="37">
        <f>G45-F45</f>
        <v>1051.5999999999995</v>
      </c>
      <c r="G46" s="38"/>
      <c r="H46" s="37">
        <f>I45-H45</f>
        <v>-3843.2200000000003</v>
      </c>
      <c r="I46" s="38"/>
      <c r="J46" s="37">
        <f>K45-J45</f>
        <v>991.28000000000065</v>
      </c>
      <c r="K46" s="38"/>
      <c r="L46" s="37">
        <f>M45-L45</f>
        <v>-2436.1000000000004</v>
      </c>
      <c r="M46" s="38"/>
      <c r="N46" s="37">
        <f>O45-N45</f>
        <v>-8230.7999999999993</v>
      </c>
      <c r="O46" s="38"/>
      <c r="P46" s="37">
        <f>Q45-P45</f>
        <v>4945.5999999999976</v>
      </c>
      <c r="Q46" s="38"/>
      <c r="R46" s="37">
        <f>S45-R45</f>
        <v>5996.1999999999989</v>
      </c>
      <c r="S46" s="38"/>
      <c r="T46" s="37">
        <f>U45-T45</f>
        <v>-1923.5999999999985</v>
      </c>
      <c r="U46" s="38"/>
      <c r="V46" s="37">
        <f>W45-V45</f>
        <v>6512.5999999999985</v>
      </c>
      <c r="W46" s="38"/>
      <c r="X46" s="37">
        <f>Y45-X45</f>
        <v>-2688.1800000000003</v>
      </c>
      <c r="Y46" s="38"/>
    </row>
    <row r="47" spans="1:25" ht="17.5" x14ac:dyDescent="0.3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7.5" x14ac:dyDescent="0.3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7.5" x14ac:dyDescent="0.3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7.5" x14ac:dyDescent="0.3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7.5" x14ac:dyDescent="0.3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7.5" x14ac:dyDescent="0.3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7.5" x14ac:dyDescent="0.3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7.5" x14ac:dyDescent="0.3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7.5" x14ac:dyDescent="0.3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7.5" x14ac:dyDescent="0.3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7.5" x14ac:dyDescent="0.3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7.5" x14ac:dyDescent="0.3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7.5" x14ac:dyDescent="0.3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7.5" x14ac:dyDescent="0.3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7.5" x14ac:dyDescent="0.3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7.5" x14ac:dyDescent="0.35">
      <c r="A62" s="7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7.5" x14ac:dyDescent="0.35">
      <c r="A63" s="9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7.5" x14ac:dyDescent="0.35">
      <c r="A64" s="9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7.5" x14ac:dyDescent="0.3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7.5" x14ac:dyDescent="0.3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7.5" x14ac:dyDescent="0.3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7.5" x14ac:dyDescent="0.3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7.5" x14ac:dyDescent="0.3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7.5" x14ac:dyDescent="0.3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7.5" x14ac:dyDescent="0.3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7.5" x14ac:dyDescent="0.3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7.5" x14ac:dyDescent="0.3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7.5" x14ac:dyDescent="0.3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7.5" x14ac:dyDescent="0.3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7.5" x14ac:dyDescent="0.3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7.5" x14ac:dyDescent="0.3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7.5" x14ac:dyDescent="0.3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7.5" x14ac:dyDescent="0.3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7.5" x14ac:dyDescent="0.35">
      <c r="A80" s="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7.5" x14ac:dyDescent="0.3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7.5" x14ac:dyDescent="0.3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7.5" x14ac:dyDescent="0.3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7.5" x14ac:dyDescent="0.3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7.5" x14ac:dyDescent="0.3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7.5" x14ac:dyDescent="0.35">
      <c r="A86" s="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7.5" x14ac:dyDescent="0.3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7.5" x14ac:dyDescent="0.3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7.5" x14ac:dyDescent="0.35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7.5" x14ac:dyDescent="0.35">
      <c r="A90" s="10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7.5" x14ac:dyDescent="0.35">
      <c r="A91" s="10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7.5" x14ac:dyDescent="0.35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7.5" x14ac:dyDescent="0.3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7.5" x14ac:dyDescent="0.3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7.5" x14ac:dyDescent="0.35">
      <c r="A95" s="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7.5" x14ac:dyDescent="0.3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7.5" x14ac:dyDescent="0.3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7.5" x14ac:dyDescent="0.3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7.5" x14ac:dyDescent="0.3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7.5" x14ac:dyDescent="0.3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7.5" x14ac:dyDescent="0.3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7.5" x14ac:dyDescent="0.3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7.5" x14ac:dyDescent="0.3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7.5" x14ac:dyDescent="0.35">
      <c r="A104" s="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7.5" x14ac:dyDescent="0.3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7.5" x14ac:dyDescent="0.3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7.5" x14ac:dyDescent="0.3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7.5" x14ac:dyDescent="0.3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7.5" x14ac:dyDescent="0.3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7.5" x14ac:dyDescent="0.3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7.5" x14ac:dyDescent="0.3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7.5" x14ac:dyDescent="0.3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7.5" x14ac:dyDescent="0.35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7.5" x14ac:dyDescent="0.3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7.5" x14ac:dyDescent="0.3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7.5" x14ac:dyDescent="0.35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7.5" x14ac:dyDescent="0.35">
      <c r="A117" s="9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7.5" x14ac:dyDescent="0.35">
      <c r="A118" s="9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3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3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3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3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3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3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3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3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3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3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2:25" x14ac:dyDescent="0.3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2:25" x14ac:dyDescent="0.3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2:25" x14ac:dyDescent="0.3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2:25" x14ac:dyDescent="0.3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2:25" x14ac:dyDescent="0.3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2:25" x14ac:dyDescent="0.3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2:25" x14ac:dyDescent="0.3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2:25" x14ac:dyDescent="0.3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2:25" x14ac:dyDescent="0.3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2:25" x14ac:dyDescent="0.3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</sheetData>
  <mergeCells count="24">
    <mergeCell ref="X1: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46:Y46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</mergeCells>
  <pageMargins left="0.7" right="0.7" top="0.75" bottom="0.75" header="0.3" footer="0.3"/>
  <ignoredErrors>
    <ignoredError sqref="B31:C31 D31:G31 H31:S31 T31:Y31" formulaRange="1"/>
    <ignoredError sqref="E41:F41 H41:Y4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F42B-AED9-45EB-94F7-162DFF85CAB2}">
  <dimension ref="A1:Z116"/>
  <sheetViews>
    <sheetView topLeftCell="D1" zoomScale="130" zoomScaleNormal="100" workbookViewId="0">
      <selection activeCell="W22" sqref="W22"/>
    </sheetView>
  </sheetViews>
  <sheetFormatPr baseColWidth="10" defaultRowHeight="15.5" x14ac:dyDescent="0.35"/>
  <cols>
    <col min="1" max="1" width="44.54296875" style="4" customWidth="1"/>
    <col min="2" max="25" width="11.81640625" style="2" customWidth="1"/>
  </cols>
  <sheetData>
    <row r="1" spans="1:26" s="11" customFormat="1" ht="17.5" x14ac:dyDescent="0.35">
      <c r="A1" s="5" t="s">
        <v>0</v>
      </c>
      <c r="B1" s="39">
        <v>1</v>
      </c>
      <c r="C1" s="40"/>
      <c r="D1" s="39">
        <v>2</v>
      </c>
      <c r="E1" s="40"/>
      <c r="F1" s="39">
        <v>3</v>
      </c>
      <c r="G1" s="40"/>
      <c r="H1" s="39">
        <v>4</v>
      </c>
      <c r="I1" s="40"/>
      <c r="J1" s="39">
        <v>5</v>
      </c>
      <c r="K1" s="40"/>
      <c r="L1" s="39">
        <v>6</v>
      </c>
      <c r="M1" s="40"/>
      <c r="N1" s="39">
        <v>7</v>
      </c>
      <c r="O1" s="40"/>
      <c r="P1" s="39">
        <v>8</v>
      </c>
      <c r="Q1" s="40"/>
      <c r="R1" s="39">
        <v>9</v>
      </c>
      <c r="S1" s="40"/>
      <c r="T1" s="39">
        <v>10</v>
      </c>
      <c r="U1" s="40"/>
      <c r="V1" s="39">
        <v>11</v>
      </c>
      <c r="W1" s="40"/>
      <c r="X1" s="39">
        <v>12</v>
      </c>
      <c r="Y1" s="40"/>
    </row>
    <row r="2" spans="1:26" s="11" customFormat="1" x14ac:dyDescent="0.35">
      <c r="A2" s="16"/>
      <c r="B2" s="22" t="s">
        <v>31</v>
      </c>
      <c r="C2" s="23" t="s">
        <v>32</v>
      </c>
      <c r="D2" s="22" t="s">
        <v>31</v>
      </c>
      <c r="E2" s="23" t="s">
        <v>32</v>
      </c>
      <c r="F2" s="22" t="s">
        <v>31</v>
      </c>
      <c r="G2" s="23" t="s">
        <v>32</v>
      </c>
      <c r="H2" s="22" t="s">
        <v>31</v>
      </c>
      <c r="I2" s="23" t="s">
        <v>32</v>
      </c>
      <c r="J2" s="22" t="s">
        <v>31</v>
      </c>
      <c r="K2" s="23" t="s">
        <v>32</v>
      </c>
      <c r="L2" s="22" t="s">
        <v>31</v>
      </c>
      <c r="M2" s="23" t="s">
        <v>32</v>
      </c>
      <c r="N2" s="22" t="s">
        <v>31</v>
      </c>
      <c r="O2" s="23" t="s">
        <v>32</v>
      </c>
      <c r="P2" s="22" t="s">
        <v>31</v>
      </c>
      <c r="Q2" s="23" t="s">
        <v>32</v>
      </c>
      <c r="R2" s="22" t="s">
        <v>31</v>
      </c>
      <c r="S2" s="23" t="s">
        <v>32</v>
      </c>
      <c r="T2" s="22" t="s">
        <v>31</v>
      </c>
      <c r="U2" s="23" t="s">
        <v>32</v>
      </c>
      <c r="V2" s="22" t="s">
        <v>31</v>
      </c>
      <c r="W2" s="23" t="s">
        <v>32</v>
      </c>
      <c r="X2" s="22" t="s">
        <v>31</v>
      </c>
      <c r="Y2" s="23" t="s">
        <v>32</v>
      </c>
    </row>
    <row r="3" spans="1:26" ht="6" customHeight="1" x14ac:dyDescent="0.35">
      <c r="A3" s="14"/>
      <c r="B3" s="18"/>
      <c r="C3" s="19"/>
      <c r="D3" s="18"/>
      <c r="E3" s="19"/>
      <c r="F3" s="18"/>
      <c r="G3" s="19"/>
      <c r="H3" s="18"/>
      <c r="I3" s="19"/>
      <c r="J3" s="18"/>
      <c r="K3" s="19"/>
      <c r="L3" s="18"/>
      <c r="M3" s="19"/>
      <c r="N3" s="18"/>
      <c r="O3" s="19"/>
      <c r="P3" s="18"/>
      <c r="Q3" s="19"/>
      <c r="R3" s="18"/>
      <c r="S3" s="19"/>
      <c r="T3" s="18"/>
      <c r="U3" s="19"/>
      <c r="V3" s="18"/>
      <c r="W3" s="19"/>
      <c r="X3" s="18"/>
      <c r="Y3" s="19"/>
      <c r="Z3" s="1"/>
    </row>
    <row r="4" spans="1:26" ht="21" x14ac:dyDescent="0.35">
      <c r="A4" s="13" t="s">
        <v>47</v>
      </c>
      <c r="B4" s="24">
        <f t="shared" ref="B4:Y4" si="0">B5+B8</f>
        <v>0</v>
      </c>
      <c r="C4" s="25">
        <f t="shared" si="0"/>
        <v>7776.8</v>
      </c>
      <c r="D4" s="24">
        <f t="shared" si="0"/>
        <v>0</v>
      </c>
      <c r="E4" s="25">
        <f t="shared" si="0"/>
        <v>7026.8</v>
      </c>
      <c r="F4" s="24">
        <f t="shared" si="0"/>
        <v>0</v>
      </c>
      <c r="G4" s="25">
        <f t="shared" si="0"/>
        <v>8008.4</v>
      </c>
      <c r="H4" s="24">
        <f t="shared" si="0"/>
        <v>0</v>
      </c>
      <c r="I4" s="25">
        <f t="shared" si="0"/>
        <v>11595.85</v>
      </c>
      <c r="J4" s="24">
        <f t="shared" si="0"/>
        <v>0</v>
      </c>
      <c r="K4" s="25">
        <f t="shared" si="0"/>
        <v>14305.789999999999</v>
      </c>
      <c r="L4" s="24">
        <f t="shared" si="0"/>
        <v>0</v>
      </c>
      <c r="M4" s="25">
        <f t="shared" si="0"/>
        <v>16903.53</v>
      </c>
      <c r="N4" s="24">
        <f t="shared" si="0"/>
        <v>0</v>
      </c>
      <c r="O4" s="25">
        <f t="shared" si="0"/>
        <v>19671.580000000002</v>
      </c>
      <c r="P4" s="24">
        <f t="shared" si="0"/>
        <v>0</v>
      </c>
      <c r="Q4" s="25">
        <f t="shared" si="0"/>
        <v>23569.590000000004</v>
      </c>
      <c r="R4" s="24">
        <f t="shared" si="0"/>
        <v>0</v>
      </c>
      <c r="S4" s="25">
        <f t="shared" si="0"/>
        <v>26768.83</v>
      </c>
      <c r="T4" s="24">
        <f t="shared" si="0"/>
        <v>0</v>
      </c>
      <c r="U4" s="25">
        <f t="shared" si="0"/>
        <v>28748.630000000005</v>
      </c>
      <c r="V4" s="24">
        <f t="shared" si="0"/>
        <v>0</v>
      </c>
      <c r="W4" s="25">
        <f t="shared" si="0"/>
        <v>33044.909999999996</v>
      </c>
      <c r="X4" s="24">
        <f t="shared" si="0"/>
        <v>0</v>
      </c>
      <c r="Y4" s="25">
        <f t="shared" si="0"/>
        <v>0</v>
      </c>
      <c r="Z4" s="1"/>
    </row>
    <row r="5" spans="1:26" ht="24" customHeight="1" x14ac:dyDescent="0.35">
      <c r="A5" s="15" t="s">
        <v>48</v>
      </c>
      <c r="B5" s="24">
        <f t="shared" ref="B5:Y5" si="1">SUM(B6:B7)</f>
        <v>0</v>
      </c>
      <c r="C5" s="25">
        <f t="shared" si="1"/>
        <v>0</v>
      </c>
      <c r="D5" s="24">
        <f t="shared" si="1"/>
        <v>0</v>
      </c>
      <c r="E5" s="25">
        <f t="shared" si="1"/>
        <v>3050</v>
      </c>
      <c r="F5" s="24">
        <f t="shared" si="1"/>
        <v>0</v>
      </c>
      <c r="G5" s="25">
        <f t="shared" si="1"/>
        <v>2980</v>
      </c>
      <c r="H5" s="24">
        <f t="shared" si="1"/>
        <v>0</v>
      </c>
      <c r="I5" s="25">
        <f t="shared" si="1"/>
        <v>5826.67</v>
      </c>
      <c r="J5" s="24">
        <f t="shared" si="1"/>
        <v>0</v>
      </c>
      <c r="K5" s="25">
        <f t="shared" si="1"/>
        <v>5673.33</v>
      </c>
      <c r="L5" s="24">
        <f t="shared" si="1"/>
        <v>0</v>
      </c>
      <c r="M5" s="25">
        <f t="shared" si="1"/>
        <v>5520</v>
      </c>
      <c r="N5" s="24">
        <f t="shared" si="1"/>
        <v>0</v>
      </c>
      <c r="O5" s="25">
        <f t="shared" si="1"/>
        <v>5366.67</v>
      </c>
      <c r="P5" s="24">
        <f t="shared" si="1"/>
        <v>0</v>
      </c>
      <c r="Q5" s="25">
        <f t="shared" si="1"/>
        <v>5213.33</v>
      </c>
      <c r="R5" s="24">
        <f t="shared" si="1"/>
        <v>0</v>
      </c>
      <c r="S5" s="25">
        <f t="shared" si="1"/>
        <v>5060</v>
      </c>
      <c r="T5" s="24">
        <f t="shared" si="1"/>
        <v>0</v>
      </c>
      <c r="U5" s="25">
        <f t="shared" si="1"/>
        <v>7823.33</v>
      </c>
      <c r="V5" s="24">
        <f t="shared" si="1"/>
        <v>0</v>
      </c>
      <c r="W5" s="25">
        <f t="shared" si="1"/>
        <v>7586.67</v>
      </c>
      <c r="X5" s="24">
        <f t="shared" si="1"/>
        <v>0</v>
      </c>
      <c r="Y5" s="25">
        <f t="shared" si="1"/>
        <v>0</v>
      </c>
      <c r="Z5" s="1"/>
    </row>
    <row r="6" spans="1:26" ht="24" customHeight="1" x14ac:dyDescent="0.35">
      <c r="A6" s="32" t="s">
        <v>67</v>
      </c>
      <c r="B6" s="26">
        <v>0</v>
      </c>
      <c r="C6" s="27">
        <v>0</v>
      </c>
      <c r="D6" s="26">
        <v>0</v>
      </c>
      <c r="E6" s="27">
        <v>2350</v>
      </c>
      <c r="F6" s="26">
        <v>0</v>
      </c>
      <c r="G6" s="27">
        <v>2300</v>
      </c>
      <c r="H6" s="26">
        <v>0</v>
      </c>
      <c r="I6" s="27">
        <v>2250</v>
      </c>
      <c r="J6" s="26">
        <v>0</v>
      </c>
      <c r="K6" s="27">
        <v>2200</v>
      </c>
      <c r="L6" s="26">
        <v>0</v>
      </c>
      <c r="M6" s="27">
        <v>2150</v>
      </c>
      <c r="N6" s="26">
        <v>0</v>
      </c>
      <c r="O6" s="27">
        <v>2100</v>
      </c>
      <c r="P6" s="26">
        <v>0</v>
      </c>
      <c r="Q6" s="27">
        <v>2050</v>
      </c>
      <c r="R6" s="26">
        <v>0</v>
      </c>
      <c r="S6" s="27">
        <v>2000</v>
      </c>
      <c r="T6" s="26">
        <v>0</v>
      </c>
      <c r="U6" s="27">
        <v>1950</v>
      </c>
      <c r="V6" s="26">
        <v>0</v>
      </c>
      <c r="W6" s="27">
        <v>1900</v>
      </c>
      <c r="X6" s="26">
        <v>0</v>
      </c>
      <c r="Y6" s="27">
        <v>0</v>
      </c>
      <c r="Z6" s="1"/>
    </row>
    <row r="7" spans="1:26" ht="24" customHeight="1" x14ac:dyDescent="0.35">
      <c r="A7" s="32" t="s">
        <v>68</v>
      </c>
      <c r="B7" s="26">
        <v>0</v>
      </c>
      <c r="C7" s="27">
        <v>0</v>
      </c>
      <c r="D7" s="26">
        <v>0</v>
      </c>
      <c r="E7" s="27">
        <v>700</v>
      </c>
      <c r="F7" s="26">
        <v>0</v>
      </c>
      <c r="G7" s="27">
        <v>680</v>
      </c>
      <c r="H7" s="26">
        <v>0</v>
      </c>
      <c r="I7" s="27">
        <v>3576.67</v>
      </c>
      <c r="J7" s="26">
        <v>0</v>
      </c>
      <c r="K7" s="27">
        <v>3473.33</v>
      </c>
      <c r="L7" s="26">
        <v>0</v>
      </c>
      <c r="M7" s="27">
        <v>3370</v>
      </c>
      <c r="N7" s="26">
        <v>0</v>
      </c>
      <c r="O7" s="27">
        <v>3266.67</v>
      </c>
      <c r="P7" s="26">
        <v>0</v>
      </c>
      <c r="Q7" s="27">
        <v>3163.33</v>
      </c>
      <c r="R7" s="26">
        <v>0</v>
      </c>
      <c r="S7" s="27">
        <v>3060</v>
      </c>
      <c r="T7" s="26">
        <v>0</v>
      </c>
      <c r="U7" s="27">
        <v>5873.33</v>
      </c>
      <c r="V7" s="26">
        <v>0</v>
      </c>
      <c r="W7" s="27">
        <v>5686.67</v>
      </c>
      <c r="X7" s="26">
        <v>0</v>
      </c>
      <c r="Y7" s="27">
        <v>0</v>
      </c>
      <c r="Z7" s="1"/>
    </row>
    <row r="8" spans="1:26" ht="24" customHeight="1" x14ac:dyDescent="0.35">
      <c r="A8" s="15" t="s">
        <v>49</v>
      </c>
      <c r="B8" s="24">
        <f t="shared" ref="B8:Y8" si="2">SUM(B9:B12)</f>
        <v>0</v>
      </c>
      <c r="C8" s="25">
        <f t="shared" si="2"/>
        <v>7776.8</v>
      </c>
      <c r="D8" s="24">
        <f t="shared" si="2"/>
        <v>0</v>
      </c>
      <c r="E8" s="25">
        <f t="shared" si="2"/>
        <v>3976.8</v>
      </c>
      <c r="F8" s="24">
        <f t="shared" si="2"/>
        <v>0</v>
      </c>
      <c r="G8" s="25">
        <f t="shared" si="2"/>
        <v>5028.3999999999996</v>
      </c>
      <c r="H8" s="24">
        <f t="shared" si="2"/>
        <v>0</v>
      </c>
      <c r="I8" s="25">
        <f t="shared" si="2"/>
        <v>5769.18</v>
      </c>
      <c r="J8" s="24">
        <f t="shared" si="2"/>
        <v>0</v>
      </c>
      <c r="K8" s="25">
        <f t="shared" si="2"/>
        <v>8632.4599999999991</v>
      </c>
      <c r="L8" s="24">
        <f t="shared" si="2"/>
        <v>0</v>
      </c>
      <c r="M8" s="25">
        <f t="shared" si="2"/>
        <v>11383.529999999999</v>
      </c>
      <c r="N8" s="24">
        <f t="shared" si="2"/>
        <v>0</v>
      </c>
      <c r="O8" s="25">
        <f t="shared" si="2"/>
        <v>14304.91</v>
      </c>
      <c r="P8" s="24">
        <f t="shared" si="2"/>
        <v>0</v>
      </c>
      <c r="Q8" s="25">
        <f t="shared" si="2"/>
        <v>18356.260000000002</v>
      </c>
      <c r="R8" s="24">
        <f t="shared" si="2"/>
        <v>0</v>
      </c>
      <c r="S8" s="25">
        <f t="shared" si="2"/>
        <v>21708.83</v>
      </c>
      <c r="T8" s="24">
        <f t="shared" si="2"/>
        <v>0</v>
      </c>
      <c r="U8" s="25">
        <f t="shared" si="2"/>
        <v>20925.300000000003</v>
      </c>
      <c r="V8" s="24">
        <f t="shared" si="2"/>
        <v>0</v>
      </c>
      <c r="W8" s="25">
        <f t="shared" si="2"/>
        <v>25458.239999999998</v>
      </c>
      <c r="X8" s="24">
        <f t="shared" si="2"/>
        <v>0</v>
      </c>
      <c r="Y8" s="25">
        <f t="shared" si="2"/>
        <v>0</v>
      </c>
      <c r="Z8" s="1"/>
    </row>
    <row r="9" spans="1:26" ht="24" customHeight="1" x14ac:dyDescent="0.35">
      <c r="A9" s="32" t="s">
        <v>69</v>
      </c>
      <c r="B9" s="26">
        <v>0</v>
      </c>
      <c r="C9" s="27">
        <v>0</v>
      </c>
      <c r="D9" s="26">
        <v>0</v>
      </c>
      <c r="E9" s="27">
        <v>0</v>
      </c>
      <c r="F9" s="26">
        <v>0</v>
      </c>
      <c r="G9" s="27">
        <v>0</v>
      </c>
      <c r="H9" s="26">
        <v>0</v>
      </c>
      <c r="I9" s="27">
        <v>0</v>
      </c>
      <c r="J9" s="26">
        <v>0</v>
      </c>
      <c r="K9" s="27">
        <v>0</v>
      </c>
      <c r="L9" s="26">
        <v>0</v>
      </c>
      <c r="M9" s="27">
        <v>0</v>
      </c>
      <c r="N9" s="26">
        <v>0</v>
      </c>
      <c r="O9" s="27">
        <v>2512</v>
      </c>
      <c r="P9" s="26">
        <v>0</v>
      </c>
      <c r="Q9" s="27">
        <v>2571.9699999999998</v>
      </c>
      <c r="R9" s="26">
        <v>0</v>
      </c>
      <c r="S9" s="27">
        <v>1474.36</v>
      </c>
      <c r="T9" s="26">
        <v>0</v>
      </c>
      <c r="U9" s="27">
        <v>1846.26</v>
      </c>
      <c r="V9" s="26">
        <v>0</v>
      </c>
      <c r="W9" s="27">
        <v>3994.42</v>
      </c>
      <c r="X9" s="26">
        <v>0</v>
      </c>
      <c r="Y9" s="27">
        <v>0</v>
      </c>
      <c r="Z9" s="1"/>
    </row>
    <row r="10" spans="1:26" ht="24" customHeight="1" x14ac:dyDescent="0.35">
      <c r="A10" s="32" t="s">
        <v>50</v>
      </c>
      <c r="B10" s="26">
        <v>0</v>
      </c>
      <c r="C10" s="27">
        <v>0</v>
      </c>
      <c r="D10" s="26">
        <v>0</v>
      </c>
      <c r="E10" s="27">
        <v>0</v>
      </c>
      <c r="F10" s="26">
        <v>0</v>
      </c>
      <c r="G10" s="27">
        <v>0</v>
      </c>
      <c r="H10" s="26">
        <v>0</v>
      </c>
      <c r="I10" s="27">
        <v>4584</v>
      </c>
      <c r="J10" s="26">
        <v>0</v>
      </c>
      <c r="K10" s="27">
        <v>6456</v>
      </c>
      <c r="L10" s="26">
        <v>0</v>
      </c>
      <c r="M10" s="27">
        <v>6936</v>
      </c>
      <c r="N10" s="26">
        <v>0</v>
      </c>
      <c r="O10" s="27">
        <v>5202</v>
      </c>
      <c r="P10" s="26">
        <v>0</v>
      </c>
      <c r="Q10" s="27">
        <v>5548.8</v>
      </c>
      <c r="R10" s="26">
        <v>0</v>
      </c>
      <c r="S10" s="27">
        <v>6547.2</v>
      </c>
      <c r="T10" s="26">
        <v>0</v>
      </c>
      <c r="U10" s="27">
        <v>6816</v>
      </c>
      <c r="V10" s="26">
        <v>0</v>
      </c>
      <c r="W10" s="27">
        <v>7296</v>
      </c>
      <c r="X10" s="26">
        <v>0</v>
      </c>
      <c r="Y10" s="27">
        <v>0</v>
      </c>
      <c r="Z10" s="1"/>
    </row>
    <row r="11" spans="1:26" ht="24" customHeight="1" x14ac:dyDescent="0.35">
      <c r="A11" s="32" t="s">
        <v>51</v>
      </c>
      <c r="B11" s="26">
        <v>0</v>
      </c>
      <c r="C11" s="27">
        <v>0</v>
      </c>
      <c r="D11" s="26">
        <v>0</v>
      </c>
      <c r="E11" s="27">
        <v>0</v>
      </c>
      <c r="F11" s="26">
        <v>0</v>
      </c>
      <c r="G11" s="27">
        <v>0</v>
      </c>
      <c r="H11" s="26">
        <v>0</v>
      </c>
      <c r="I11" s="27">
        <v>0</v>
      </c>
      <c r="J11" s="26">
        <v>0</v>
      </c>
      <c r="K11" s="27">
        <v>0</v>
      </c>
      <c r="L11" s="26">
        <v>0</v>
      </c>
      <c r="M11" s="27">
        <v>0</v>
      </c>
      <c r="N11" s="26">
        <v>0</v>
      </c>
      <c r="O11" s="27">
        <v>0</v>
      </c>
      <c r="P11" s="26">
        <v>0</v>
      </c>
      <c r="Q11" s="27">
        <v>0</v>
      </c>
      <c r="R11" s="26">
        <v>0</v>
      </c>
      <c r="S11" s="27">
        <v>0</v>
      </c>
      <c r="T11" s="26">
        <v>0</v>
      </c>
      <c r="U11" s="27">
        <v>0</v>
      </c>
      <c r="V11" s="26">
        <v>0</v>
      </c>
      <c r="W11" s="27">
        <v>0</v>
      </c>
      <c r="X11" s="26">
        <v>0</v>
      </c>
      <c r="Y11" s="27">
        <v>0</v>
      </c>
      <c r="Z11" s="1"/>
    </row>
    <row r="12" spans="1:26" ht="24" customHeight="1" x14ac:dyDescent="0.35">
      <c r="A12" s="32" t="s">
        <v>52</v>
      </c>
      <c r="B12" s="26">
        <v>0</v>
      </c>
      <c r="C12" s="27">
        <v>7776.8</v>
      </c>
      <c r="D12" s="26">
        <v>0</v>
      </c>
      <c r="E12" s="27">
        <v>3976.8</v>
      </c>
      <c r="F12" s="26">
        <v>0</v>
      </c>
      <c r="G12" s="27">
        <v>5028.3999999999996</v>
      </c>
      <c r="H12" s="26">
        <v>0</v>
      </c>
      <c r="I12" s="27">
        <v>1185.18</v>
      </c>
      <c r="J12" s="26">
        <v>0</v>
      </c>
      <c r="K12" s="27">
        <v>2176.46</v>
      </c>
      <c r="L12" s="26">
        <v>0</v>
      </c>
      <c r="M12" s="27">
        <v>4447.53</v>
      </c>
      <c r="N12" s="26">
        <v>0</v>
      </c>
      <c r="O12" s="27">
        <v>6590.91</v>
      </c>
      <c r="P12" s="26">
        <v>0</v>
      </c>
      <c r="Q12" s="27">
        <v>10235.49</v>
      </c>
      <c r="R12" s="26">
        <v>0</v>
      </c>
      <c r="S12" s="27">
        <v>13687.27</v>
      </c>
      <c r="T12" s="26">
        <v>0</v>
      </c>
      <c r="U12" s="27">
        <v>12263.04</v>
      </c>
      <c r="V12" s="26">
        <v>0</v>
      </c>
      <c r="W12" s="27">
        <v>14167.82</v>
      </c>
      <c r="X12" s="26">
        <v>0</v>
      </c>
      <c r="Y12" s="27">
        <v>0</v>
      </c>
      <c r="Z12" s="1"/>
    </row>
    <row r="13" spans="1:26" ht="6" customHeight="1" x14ac:dyDescent="0.35">
      <c r="A13" s="14"/>
      <c r="B13" s="28"/>
      <c r="C13" s="29"/>
      <c r="D13" s="28"/>
      <c r="E13" s="29"/>
      <c r="F13" s="28"/>
      <c r="G13" s="29"/>
      <c r="H13" s="28"/>
      <c r="I13" s="29"/>
      <c r="J13" s="28"/>
      <c r="K13" s="29"/>
      <c r="L13" s="28"/>
      <c r="M13" s="29"/>
      <c r="N13" s="28"/>
      <c r="O13" s="29"/>
      <c r="P13" s="28"/>
      <c r="Q13" s="29"/>
      <c r="R13" s="28"/>
      <c r="S13" s="29"/>
      <c r="T13" s="28"/>
      <c r="U13" s="29"/>
      <c r="V13" s="28"/>
      <c r="W13" s="29"/>
      <c r="X13" s="28"/>
      <c r="Y13" s="29"/>
      <c r="Z13" s="1"/>
    </row>
    <row r="14" spans="1:26" ht="21" x14ac:dyDescent="0.35">
      <c r="A14" s="13" t="s">
        <v>53</v>
      </c>
      <c r="B14" s="24">
        <f>B15+B19</f>
        <v>8000</v>
      </c>
      <c r="C14" s="25">
        <f>C15+C19</f>
        <v>7776.8</v>
      </c>
      <c r="D14" s="24">
        <f t="shared" ref="D14:Y14" si="3">D15+D19</f>
        <v>8000</v>
      </c>
      <c r="E14" s="25">
        <f t="shared" si="3"/>
        <v>7026.8</v>
      </c>
      <c r="F14" s="24">
        <f t="shared" si="3"/>
        <v>8000</v>
      </c>
      <c r="G14" s="25">
        <f t="shared" si="3"/>
        <v>8008.4</v>
      </c>
      <c r="H14" s="24">
        <f t="shared" si="3"/>
        <v>8000</v>
      </c>
      <c r="I14" s="25">
        <f t="shared" si="3"/>
        <v>11595.84</v>
      </c>
      <c r="J14" s="24">
        <f t="shared" si="3"/>
        <v>8000</v>
      </c>
      <c r="K14" s="25">
        <f t="shared" si="3"/>
        <v>14305.789999999999</v>
      </c>
      <c r="L14" s="24">
        <f t="shared" si="3"/>
        <v>8000</v>
      </c>
      <c r="M14" s="25">
        <f t="shared" si="3"/>
        <v>16903.54</v>
      </c>
      <c r="N14" s="24">
        <f t="shared" si="3"/>
        <v>8000</v>
      </c>
      <c r="O14" s="25">
        <f t="shared" si="3"/>
        <v>19671.579999999998</v>
      </c>
      <c r="P14" s="24">
        <f t="shared" si="3"/>
        <v>8000</v>
      </c>
      <c r="Q14" s="25">
        <f t="shared" si="3"/>
        <v>23569.589999999997</v>
      </c>
      <c r="R14" s="24">
        <f t="shared" si="3"/>
        <v>8000</v>
      </c>
      <c r="S14" s="25">
        <f t="shared" si="3"/>
        <v>26768.82</v>
      </c>
      <c r="T14" s="24">
        <f t="shared" si="3"/>
        <v>8000</v>
      </c>
      <c r="U14" s="25">
        <f t="shared" si="3"/>
        <v>28748.63</v>
      </c>
      <c r="V14" s="24">
        <f t="shared" si="3"/>
        <v>8000</v>
      </c>
      <c r="W14" s="25">
        <f t="shared" si="3"/>
        <v>33044.910000000003</v>
      </c>
      <c r="X14" s="24">
        <f t="shared" si="3"/>
        <v>8000</v>
      </c>
      <c r="Y14" s="25">
        <f t="shared" si="3"/>
        <v>8000</v>
      </c>
      <c r="Z14" s="1"/>
    </row>
    <row r="15" spans="1:26" ht="24" customHeight="1" x14ac:dyDescent="0.35">
      <c r="A15" s="15" t="s">
        <v>54</v>
      </c>
      <c r="B15" s="24">
        <f>SUM(B16:B18)</f>
        <v>8000</v>
      </c>
      <c r="C15" s="25">
        <f>SUM(C16:C18)</f>
        <v>6924</v>
      </c>
      <c r="D15" s="24">
        <f t="shared" ref="D15:Y15" si="4">SUM(D16:D18)</f>
        <v>8000</v>
      </c>
      <c r="E15" s="25">
        <f t="shared" si="4"/>
        <v>6528</v>
      </c>
      <c r="F15" s="24">
        <f t="shared" si="4"/>
        <v>8000</v>
      </c>
      <c r="G15" s="25">
        <f t="shared" si="4"/>
        <v>6760</v>
      </c>
      <c r="H15" s="24">
        <f t="shared" si="4"/>
        <v>8000</v>
      </c>
      <c r="I15" s="25">
        <f t="shared" si="4"/>
        <v>5697.08</v>
      </c>
      <c r="J15" s="24">
        <f t="shared" si="4"/>
        <v>8000</v>
      </c>
      <c r="K15" s="25">
        <f t="shared" si="4"/>
        <v>7262.3099999999995</v>
      </c>
      <c r="L15" s="24">
        <f t="shared" si="4"/>
        <v>8000</v>
      </c>
      <c r="M15" s="25">
        <f t="shared" si="4"/>
        <v>9772.18</v>
      </c>
      <c r="N15" s="24">
        <f t="shared" si="4"/>
        <v>8000</v>
      </c>
      <c r="O15" s="25">
        <f t="shared" si="4"/>
        <v>13000.189999999999</v>
      </c>
      <c r="P15" s="24">
        <f t="shared" si="4"/>
        <v>8000</v>
      </c>
      <c r="Q15" s="25">
        <f t="shared" si="4"/>
        <v>16462.309999999998</v>
      </c>
      <c r="R15" s="24">
        <f t="shared" si="4"/>
        <v>8000</v>
      </c>
      <c r="S15" s="25">
        <f t="shared" si="4"/>
        <v>19057</v>
      </c>
      <c r="T15" s="24">
        <f t="shared" si="4"/>
        <v>8000</v>
      </c>
      <c r="U15" s="25">
        <f t="shared" si="4"/>
        <v>22005.010000000002</v>
      </c>
      <c r="V15" s="24">
        <f t="shared" si="4"/>
        <v>8000</v>
      </c>
      <c r="W15" s="25">
        <f t="shared" si="4"/>
        <v>25957.43</v>
      </c>
      <c r="X15" s="24">
        <f t="shared" si="4"/>
        <v>8000</v>
      </c>
      <c r="Y15" s="25">
        <f t="shared" si="4"/>
        <v>8000</v>
      </c>
      <c r="Z15" s="1"/>
    </row>
    <row r="16" spans="1:26" ht="24" customHeight="1" x14ac:dyDescent="0.35">
      <c r="A16" s="33" t="s">
        <v>55</v>
      </c>
      <c r="B16" s="26">
        <v>8000</v>
      </c>
      <c r="C16" s="27">
        <v>8000</v>
      </c>
      <c r="D16" s="26">
        <v>8000</v>
      </c>
      <c r="E16" s="27">
        <v>8000</v>
      </c>
      <c r="F16" s="26">
        <v>8000</v>
      </c>
      <c r="G16" s="27">
        <v>8000</v>
      </c>
      <c r="H16" s="26">
        <v>8000</v>
      </c>
      <c r="I16" s="27">
        <v>8000</v>
      </c>
      <c r="J16" s="26">
        <v>8000</v>
      </c>
      <c r="K16" s="27">
        <v>8000</v>
      </c>
      <c r="L16" s="26">
        <v>8000</v>
      </c>
      <c r="M16" s="27">
        <v>8000</v>
      </c>
      <c r="N16" s="26">
        <v>8000</v>
      </c>
      <c r="O16" s="27">
        <v>8000</v>
      </c>
      <c r="P16" s="26">
        <v>8000</v>
      </c>
      <c r="Q16" s="27">
        <v>8000</v>
      </c>
      <c r="R16" s="26">
        <v>8000</v>
      </c>
      <c r="S16" s="27">
        <v>8000</v>
      </c>
      <c r="T16" s="26">
        <v>8000</v>
      </c>
      <c r="U16" s="27">
        <v>8000</v>
      </c>
      <c r="V16" s="26">
        <v>8000</v>
      </c>
      <c r="W16" s="27">
        <v>8000</v>
      </c>
      <c r="X16" s="26">
        <v>8000</v>
      </c>
      <c r="Y16" s="27">
        <v>8000</v>
      </c>
      <c r="Z16" s="1"/>
    </row>
    <row r="17" spans="1:26" ht="24" customHeight="1" x14ac:dyDescent="0.35">
      <c r="A17" s="33" t="s">
        <v>56</v>
      </c>
      <c r="B17" s="26">
        <v>0</v>
      </c>
      <c r="C17" s="27">
        <v>0</v>
      </c>
      <c r="D17" s="26">
        <v>0</v>
      </c>
      <c r="E17" s="27">
        <v>0</v>
      </c>
      <c r="F17" s="26">
        <v>0</v>
      </c>
      <c r="G17" s="27">
        <v>0</v>
      </c>
      <c r="H17" s="26">
        <v>0</v>
      </c>
      <c r="I17" s="27">
        <v>0</v>
      </c>
      <c r="J17" s="26">
        <v>0</v>
      </c>
      <c r="K17" s="27">
        <v>0</v>
      </c>
      <c r="L17" s="26">
        <v>0</v>
      </c>
      <c r="M17" s="27">
        <v>0</v>
      </c>
      <c r="N17" s="26">
        <v>0</v>
      </c>
      <c r="O17" s="27">
        <v>0</v>
      </c>
      <c r="P17" s="26">
        <v>0</v>
      </c>
      <c r="Q17" s="27">
        <v>0</v>
      </c>
      <c r="R17" s="26">
        <v>0</v>
      </c>
      <c r="S17" s="27">
        <v>0</v>
      </c>
      <c r="T17" s="26">
        <v>0</v>
      </c>
      <c r="U17" s="27">
        <v>0</v>
      </c>
      <c r="V17" s="26">
        <v>0</v>
      </c>
      <c r="W17" s="27">
        <v>0</v>
      </c>
      <c r="X17" s="26">
        <v>0</v>
      </c>
      <c r="Y17" s="27">
        <v>0</v>
      </c>
      <c r="Z17" s="1"/>
    </row>
    <row r="18" spans="1:26" ht="24" customHeight="1" x14ac:dyDescent="0.35">
      <c r="A18" s="33" t="s">
        <v>57</v>
      </c>
      <c r="B18" s="26">
        <v>0</v>
      </c>
      <c r="C18" s="27">
        <v>-1076</v>
      </c>
      <c r="D18" s="26">
        <v>0</v>
      </c>
      <c r="E18" s="27">
        <v>-1472</v>
      </c>
      <c r="F18" s="26">
        <v>0</v>
      </c>
      <c r="G18" s="27">
        <v>-1240</v>
      </c>
      <c r="H18" s="26">
        <v>0</v>
      </c>
      <c r="I18" s="27">
        <v>-2302.92</v>
      </c>
      <c r="J18" s="26">
        <v>0</v>
      </c>
      <c r="K18" s="27">
        <v>-737.69</v>
      </c>
      <c r="L18" s="26">
        <v>0</v>
      </c>
      <c r="M18" s="27">
        <v>1772.18</v>
      </c>
      <c r="N18" s="26">
        <v>0</v>
      </c>
      <c r="O18" s="27">
        <v>5000.1899999999996</v>
      </c>
      <c r="P18" s="26">
        <v>0</v>
      </c>
      <c r="Q18" s="27">
        <v>8462.31</v>
      </c>
      <c r="R18" s="26">
        <v>0</v>
      </c>
      <c r="S18" s="27">
        <v>11057</v>
      </c>
      <c r="T18" s="26">
        <v>0</v>
      </c>
      <c r="U18" s="27">
        <v>14005.01</v>
      </c>
      <c r="V18" s="26">
        <v>0</v>
      </c>
      <c r="W18" s="27">
        <v>17957.43</v>
      </c>
      <c r="X18" s="26">
        <v>0</v>
      </c>
      <c r="Y18" s="27">
        <v>0</v>
      </c>
      <c r="Z18" s="1"/>
    </row>
    <row r="19" spans="1:26" ht="24" customHeight="1" x14ac:dyDescent="0.35">
      <c r="A19" s="15" t="s">
        <v>58</v>
      </c>
      <c r="B19" s="24">
        <f t="shared" ref="B19:Y19" si="5">SUM(B20:B23)</f>
        <v>0</v>
      </c>
      <c r="C19" s="25">
        <f t="shared" si="5"/>
        <v>852.8</v>
      </c>
      <c r="D19" s="24">
        <f t="shared" si="5"/>
        <v>0</v>
      </c>
      <c r="E19" s="25">
        <f t="shared" si="5"/>
        <v>498.8</v>
      </c>
      <c r="F19" s="24">
        <f t="shared" si="5"/>
        <v>0</v>
      </c>
      <c r="G19" s="25">
        <f t="shared" si="5"/>
        <v>1248.4000000000001</v>
      </c>
      <c r="H19" s="24">
        <f t="shared" si="5"/>
        <v>0</v>
      </c>
      <c r="I19" s="25">
        <f t="shared" si="5"/>
        <v>5898.76</v>
      </c>
      <c r="J19" s="24">
        <f t="shared" si="5"/>
        <v>0</v>
      </c>
      <c r="K19" s="25">
        <f t="shared" si="5"/>
        <v>7043.48</v>
      </c>
      <c r="L19" s="24">
        <f t="shared" si="5"/>
        <v>0</v>
      </c>
      <c r="M19" s="25">
        <f t="shared" si="5"/>
        <v>7131.36</v>
      </c>
      <c r="N19" s="24">
        <f t="shared" si="5"/>
        <v>0</v>
      </c>
      <c r="O19" s="25">
        <f t="shared" si="5"/>
        <v>6671.3899999999994</v>
      </c>
      <c r="P19" s="24">
        <f t="shared" si="5"/>
        <v>0</v>
      </c>
      <c r="Q19" s="25">
        <f t="shared" si="5"/>
        <v>7107.2800000000007</v>
      </c>
      <c r="R19" s="24">
        <f t="shared" si="5"/>
        <v>0</v>
      </c>
      <c r="S19" s="25">
        <f t="shared" si="5"/>
        <v>7711.82</v>
      </c>
      <c r="T19" s="24">
        <f t="shared" si="5"/>
        <v>0</v>
      </c>
      <c r="U19" s="25">
        <f t="shared" si="5"/>
        <v>6743.62</v>
      </c>
      <c r="V19" s="24">
        <f t="shared" si="5"/>
        <v>0</v>
      </c>
      <c r="W19" s="25">
        <f t="shared" si="5"/>
        <v>7087.48</v>
      </c>
      <c r="X19" s="24">
        <f t="shared" si="5"/>
        <v>0</v>
      </c>
      <c r="Y19" s="25">
        <f t="shared" si="5"/>
        <v>0</v>
      </c>
      <c r="Z19" s="1"/>
    </row>
    <row r="20" spans="1:26" ht="24" customHeight="1" x14ac:dyDescent="0.35">
      <c r="A20" s="33" t="s">
        <v>38</v>
      </c>
      <c r="B20" s="26">
        <v>0</v>
      </c>
      <c r="C20" s="27">
        <v>0</v>
      </c>
      <c r="D20" s="26">
        <v>0</v>
      </c>
      <c r="E20" s="27">
        <v>0</v>
      </c>
      <c r="F20" s="26">
        <v>0</v>
      </c>
      <c r="G20" s="27">
        <v>0</v>
      </c>
      <c r="H20" s="26">
        <v>0</v>
      </c>
      <c r="I20" s="27">
        <v>4899.26</v>
      </c>
      <c r="J20" s="26">
        <v>0</v>
      </c>
      <c r="K20" s="27">
        <v>4798.38</v>
      </c>
      <c r="L20" s="26">
        <v>0</v>
      </c>
      <c r="M20" s="27">
        <v>4697.3599999999997</v>
      </c>
      <c r="N20" s="26">
        <v>0</v>
      </c>
      <c r="O20" s="27">
        <v>4596.1899999999996</v>
      </c>
      <c r="P20" s="26">
        <v>0</v>
      </c>
      <c r="Q20" s="27">
        <v>4494.88</v>
      </c>
      <c r="R20" s="26">
        <v>0</v>
      </c>
      <c r="S20" s="27">
        <v>4393.42</v>
      </c>
      <c r="T20" s="26">
        <v>0</v>
      </c>
      <c r="U20" s="27">
        <v>4291.82</v>
      </c>
      <c r="V20" s="26">
        <v>0</v>
      </c>
      <c r="W20" s="27">
        <v>4190.08</v>
      </c>
      <c r="X20" s="26">
        <v>0</v>
      </c>
      <c r="Y20" s="27">
        <v>0</v>
      </c>
      <c r="Z20" s="1"/>
    </row>
    <row r="21" spans="1:26" ht="24" customHeight="1" x14ac:dyDescent="0.35">
      <c r="A21" s="33" t="s">
        <v>59</v>
      </c>
      <c r="B21" s="26">
        <v>0</v>
      </c>
      <c r="C21" s="27">
        <v>360</v>
      </c>
      <c r="D21" s="26">
        <v>0</v>
      </c>
      <c r="E21" s="27">
        <v>480</v>
      </c>
      <c r="F21" s="26">
        <v>0</v>
      </c>
      <c r="G21" s="27">
        <v>480</v>
      </c>
      <c r="H21" s="26">
        <v>0</v>
      </c>
      <c r="I21" s="27">
        <v>540</v>
      </c>
      <c r="J21" s="26">
        <v>0</v>
      </c>
      <c r="K21" s="27">
        <v>660</v>
      </c>
      <c r="L21" s="26">
        <v>0</v>
      </c>
      <c r="M21" s="27">
        <v>660</v>
      </c>
      <c r="N21" s="26">
        <v>0</v>
      </c>
      <c r="O21" s="27">
        <v>660</v>
      </c>
      <c r="P21" s="26">
        <v>0</v>
      </c>
      <c r="Q21" s="27">
        <v>660</v>
      </c>
      <c r="R21" s="26">
        <v>0</v>
      </c>
      <c r="S21" s="27">
        <v>720</v>
      </c>
      <c r="T21" s="26">
        <v>0</v>
      </c>
      <c r="U21" s="27">
        <v>660</v>
      </c>
      <c r="V21" s="26">
        <v>0</v>
      </c>
      <c r="W21" s="27">
        <v>660</v>
      </c>
      <c r="X21" s="26">
        <v>0</v>
      </c>
      <c r="Y21" s="27">
        <v>0</v>
      </c>
      <c r="Z21" s="1"/>
    </row>
    <row r="22" spans="1:26" ht="24" customHeight="1" x14ac:dyDescent="0.35">
      <c r="A22" s="33" t="s">
        <v>60</v>
      </c>
      <c r="B22" s="26">
        <v>0</v>
      </c>
      <c r="C22" s="27">
        <v>492.8</v>
      </c>
      <c r="D22" s="26">
        <v>0</v>
      </c>
      <c r="E22" s="27">
        <v>18.8</v>
      </c>
      <c r="F22" s="26">
        <v>0</v>
      </c>
      <c r="G22" s="27">
        <v>768.4</v>
      </c>
      <c r="H22" s="26">
        <v>0</v>
      </c>
      <c r="I22" s="27">
        <v>459.5</v>
      </c>
      <c r="J22" s="26">
        <v>0</v>
      </c>
      <c r="K22" s="27">
        <v>1585.1</v>
      </c>
      <c r="L22" s="26">
        <v>0</v>
      </c>
      <c r="M22" s="27">
        <v>1774</v>
      </c>
      <c r="N22" s="26">
        <v>0</v>
      </c>
      <c r="O22" s="27">
        <v>1415.2</v>
      </c>
      <c r="P22" s="26">
        <v>0</v>
      </c>
      <c r="Q22" s="27">
        <v>1952.4</v>
      </c>
      <c r="R22" s="26">
        <v>0</v>
      </c>
      <c r="S22" s="27">
        <v>2598.4</v>
      </c>
      <c r="T22" s="26">
        <v>0</v>
      </c>
      <c r="U22" s="27">
        <v>1791.8</v>
      </c>
      <c r="V22" s="26">
        <v>0</v>
      </c>
      <c r="W22" s="27">
        <v>2237.4</v>
      </c>
      <c r="X22" s="26">
        <v>0</v>
      </c>
      <c r="Y22" s="27">
        <v>0</v>
      </c>
      <c r="Z22" s="1"/>
    </row>
    <row r="23" spans="1:26" ht="24" customHeight="1" x14ac:dyDescent="0.35">
      <c r="A23" s="33" t="s">
        <v>61</v>
      </c>
      <c r="B23" s="26">
        <v>0</v>
      </c>
      <c r="C23" s="27">
        <v>0</v>
      </c>
      <c r="D23" s="26">
        <v>0</v>
      </c>
      <c r="E23" s="27">
        <v>0</v>
      </c>
      <c r="F23" s="26">
        <v>0</v>
      </c>
      <c r="G23" s="27">
        <v>0</v>
      </c>
      <c r="H23" s="26">
        <v>0</v>
      </c>
      <c r="I23" s="27">
        <v>0</v>
      </c>
      <c r="J23" s="26">
        <v>0</v>
      </c>
      <c r="K23" s="27">
        <v>0</v>
      </c>
      <c r="L23" s="26">
        <v>0</v>
      </c>
      <c r="M23" s="27">
        <v>0</v>
      </c>
      <c r="N23" s="26">
        <v>0</v>
      </c>
      <c r="O23" s="27">
        <v>0</v>
      </c>
      <c r="P23" s="26">
        <v>0</v>
      </c>
      <c r="Q23" s="27">
        <v>0</v>
      </c>
      <c r="R23" s="26">
        <v>0</v>
      </c>
      <c r="S23" s="27">
        <v>0</v>
      </c>
      <c r="T23" s="26">
        <v>0</v>
      </c>
      <c r="U23" s="27">
        <v>0</v>
      </c>
      <c r="V23" s="26">
        <v>0</v>
      </c>
      <c r="W23" s="27">
        <v>0</v>
      </c>
      <c r="X23" s="26">
        <v>0</v>
      </c>
      <c r="Y23" s="27">
        <v>0</v>
      </c>
      <c r="Z23" s="1"/>
    </row>
    <row r="24" spans="1:26" ht="6" customHeight="1" x14ac:dyDescent="0.35">
      <c r="A24" s="14"/>
      <c r="B24" s="18"/>
      <c r="C24" s="19"/>
      <c r="D24" s="18"/>
      <c r="E24" s="19"/>
      <c r="F24" s="18"/>
      <c r="G24" s="19"/>
      <c r="H24" s="18"/>
      <c r="I24" s="19"/>
      <c r="J24" s="18"/>
      <c r="K24" s="19"/>
      <c r="L24" s="18"/>
      <c r="M24" s="19"/>
      <c r="N24" s="18"/>
      <c r="O24" s="19"/>
      <c r="P24" s="18"/>
      <c r="Q24" s="19"/>
      <c r="R24" s="18"/>
      <c r="S24" s="19"/>
      <c r="T24" s="18"/>
      <c r="U24" s="19"/>
      <c r="V24" s="18"/>
      <c r="W24" s="19"/>
      <c r="X24" s="18"/>
      <c r="Y24" s="19"/>
      <c r="Z24" s="1"/>
    </row>
    <row r="25" spans="1:26" ht="17.5" x14ac:dyDescent="0.3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1"/>
    </row>
    <row r="26" spans="1:26" ht="17.5" x14ac:dyDescent="0.3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1"/>
    </row>
    <row r="27" spans="1:26" ht="17.5" x14ac:dyDescent="0.3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1"/>
    </row>
    <row r="28" spans="1:26" ht="17.5" x14ac:dyDescent="0.3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1"/>
    </row>
    <row r="29" spans="1:26" ht="17.5" x14ac:dyDescent="0.3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1"/>
    </row>
    <row r="30" spans="1:26" ht="17.5" x14ac:dyDescent="0.3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1"/>
    </row>
    <row r="31" spans="1:26" ht="17.5" x14ac:dyDescent="0.3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1"/>
    </row>
    <row r="32" spans="1:26" ht="17.5" x14ac:dyDescent="0.3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1"/>
    </row>
    <row r="33" spans="1:26" ht="17.5" x14ac:dyDescent="0.3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1"/>
    </row>
    <row r="34" spans="1:26" ht="17.5" x14ac:dyDescent="0.3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1"/>
    </row>
    <row r="35" spans="1:26" ht="17.5" x14ac:dyDescent="0.3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1"/>
    </row>
    <row r="36" spans="1:26" ht="17.5" x14ac:dyDescent="0.3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1"/>
    </row>
    <row r="37" spans="1:26" ht="17.5" x14ac:dyDescent="0.3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1"/>
    </row>
    <row r="38" spans="1:26" ht="17.5" x14ac:dyDescent="0.3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1"/>
    </row>
    <row r="39" spans="1:26" ht="17.5" x14ac:dyDescent="0.3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1"/>
    </row>
    <row r="40" spans="1:26" ht="17.5" x14ac:dyDescent="0.35">
      <c r="A40" s="7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1"/>
    </row>
    <row r="41" spans="1:26" ht="17.5" x14ac:dyDescent="0.35">
      <c r="A41" s="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1"/>
    </row>
    <row r="42" spans="1:26" ht="17.5" x14ac:dyDescent="0.35">
      <c r="A42" s="9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1"/>
    </row>
    <row r="43" spans="1:26" ht="17.5" x14ac:dyDescent="0.3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1"/>
    </row>
    <row r="44" spans="1:26" ht="17.5" x14ac:dyDescent="0.3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1"/>
    </row>
    <row r="45" spans="1:26" ht="17.5" x14ac:dyDescent="0.3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1"/>
    </row>
    <row r="46" spans="1:26" ht="17.5" x14ac:dyDescent="0.3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1"/>
    </row>
    <row r="47" spans="1:26" ht="17.5" x14ac:dyDescent="0.3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1"/>
    </row>
    <row r="48" spans="1:26" ht="17.5" x14ac:dyDescent="0.3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1"/>
    </row>
    <row r="49" spans="1:26" ht="17.5" x14ac:dyDescent="0.3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"/>
    </row>
    <row r="50" spans="1:26" ht="17.5" x14ac:dyDescent="0.3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"/>
    </row>
    <row r="51" spans="1:26" ht="17.5" x14ac:dyDescent="0.3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1"/>
    </row>
    <row r="52" spans="1:26" ht="17.5" x14ac:dyDescent="0.3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1"/>
    </row>
    <row r="53" spans="1:26" ht="17.5" x14ac:dyDescent="0.3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1"/>
    </row>
    <row r="54" spans="1:26" ht="17.5" x14ac:dyDescent="0.3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1"/>
    </row>
    <row r="55" spans="1:26" ht="17.5" x14ac:dyDescent="0.3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1"/>
    </row>
    <row r="56" spans="1:26" ht="17.5" x14ac:dyDescent="0.3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1"/>
    </row>
    <row r="57" spans="1:26" ht="17.5" x14ac:dyDescent="0.3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1"/>
    </row>
    <row r="58" spans="1:26" ht="17.5" x14ac:dyDescent="0.35">
      <c r="A58" s="7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"/>
    </row>
    <row r="59" spans="1:26" ht="17.5" x14ac:dyDescent="0.3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1"/>
    </row>
    <row r="60" spans="1:26" ht="17.5" x14ac:dyDescent="0.3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1"/>
    </row>
    <row r="61" spans="1:26" ht="17.5" x14ac:dyDescent="0.3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1"/>
    </row>
    <row r="62" spans="1:26" ht="17.5" x14ac:dyDescent="0.3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1"/>
    </row>
    <row r="63" spans="1:26" ht="17.5" x14ac:dyDescent="0.3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1"/>
    </row>
    <row r="64" spans="1:26" ht="17.5" x14ac:dyDescent="0.35">
      <c r="A64" s="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1"/>
    </row>
    <row r="65" spans="1:26" ht="17.5" x14ac:dyDescent="0.3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1"/>
    </row>
    <row r="66" spans="1:26" ht="17.5" x14ac:dyDescent="0.3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1"/>
    </row>
    <row r="67" spans="1:26" ht="17.5" x14ac:dyDescent="0.35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1"/>
    </row>
    <row r="68" spans="1:26" ht="17.5" x14ac:dyDescent="0.35">
      <c r="A68" s="10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1"/>
    </row>
    <row r="69" spans="1:26" ht="17.5" x14ac:dyDescent="0.35">
      <c r="A69" s="10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1"/>
    </row>
    <row r="70" spans="1:26" ht="17.5" x14ac:dyDescent="0.35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1"/>
    </row>
    <row r="71" spans="1:26" ht="17.5" x14ac:dyDescent="0.3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1"/>
    </row>
    <row r="72" spans="1:26" ht="17.5" x14ac:dyDescent="0.3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1"/>
    </row>
    <row r="73" spans="1:26" ht="17.5" x14ac:dyDescent="0.35">
      <c r="A73" s="7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1"/>
    </row>
    <row r="74" spans="1:26" ht="17.5" x14ac:dyDescent="0.3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1"/>
    </row>
    <row r="75" spans="1:26" ht="17.5" x14ac:dyDescent="0.3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1"/>
    </row>
    <row r="76" spans="1:26" ht="17.5" x14ac:dyDescent="0.3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1"/>
    </row>
    <row r="77" spans="1:26" ht="17.5" x14ac:dyDescent="0.3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1"/>
    </row>
    <row r="78" spans="1:26" ht="17.5" x14ac:dyDescent="0.3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1"/>
    </row>
    <row r="79" spans="1:26" ht="17.5" x14ac:dyDescent="0.3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1"/>
    </row>
    <row r="80" spans="1:26" ht="17.5" x14ac:dyDescent="0.3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1"/>
    </row>
    <row r="81" spans="1:26" ht="17.5" x14ac:dyDescent="0.3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1"/>
    </row>
    <row r="82" spans="1:26" ht="17.5" x14ac:dyDescent="0.35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1"/>
    </row>
    <row r="83" spans="1:26" ht="17.5" x14ac:dyDescent="0.3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1"/>
    </row>
    <row r="84" spans="1:26" ht="17.5" x14ac:dyDescent="0.3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1"/>
    </row>
    <row r="85" spans="1:26" ht="17.5" x14ac:dyDescent="0.3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1"/>
    </row>
    <row r="86" spans="1:26" ht="17.5" x14ac:dyDescent="0.3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1"/>
    </row>
    <row r="87" spans="1:26" ht="17.5" x14ac:dyDescent="0.3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1"/>
    </row>
    <row r="88" spans="1:26" ht="17.5" x14ac:dyDescent="0.3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1"/>
    </row>
    <row r="89" spans="1:26" ht="17.5" x14ac:dyDescent="0.3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1"/>
    </row>
    <row r="90" spans="1:26" ht="17.5" x14ac:dyDescent="0.3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6" ht="17.5" x14ac:dyDescent="0.35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6" ht="17.5" x14ac:dyDescent="0.3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6" ht="17.5" x14ac:dyDescent="0.3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6" ht="17.5" x14ac:dyDescent="0.35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6" ht="17.5" x14ac:dyDescent="0.35">
      <c r="A95" s="9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6" ht="17.5" x14ac:dyDescent="0.35">
      <c r="A96" s="9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2:25" x14ac:dyDescent="0.3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2:25" x14ac:dyDescent="0.3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2:25" x14ac:dyDescent="0.3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2:25" x14ac:dyDescent="0.3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2:25" x14ac:dyDescent="0.3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2:25" x14ac:dyDescent="0.3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2:25" x14ac:dyDescent="0.3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2:25" x14ac:dyDescent="0.3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2:25" x14ac:dyDescent="0.3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2:25" x14ac:dyDescent="0.3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2:25" x14ac:dyDescent="0.3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2:25" x14ac:dyDescent="0.3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2:25" x14ac:dyDescent="0.3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2:25" x14ac:dyDescent="0.3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2:25" x14ac:dyDescent="0.3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2:25" x14ac:dyDescent="0.3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2:25" x14ac:dyDescent="0.3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2:25" x14ac:dyDescent="0.3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2:25" x14ac:dyDescent="0.3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2:25" x14ac:dyDescent="0.3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</sheetData>
  <mergeCells count="12">
    <mergeCell ref="X1: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CdR</vt:lpstr>
      <vt:lpstr>Trésorerie</vt:lpstr>
      <vt:lpstr>Bilan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beyaert</dc:creator>
  <cp:lastModifiedBy>Alexis Opolka</cp:lastModifiedBy>
  <dcterms:created xsi:type="dcterms:W3CDTF">2020-08-18T13:06:11Z</dcterms:created>
  <dcterms:modified xsi:type="dcterms:W3CDTF">2025-09-11T09:38:51Z</dcterms:modified>
</cp:coreProperties>
</file>